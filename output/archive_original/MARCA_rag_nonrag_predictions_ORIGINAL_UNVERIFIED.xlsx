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alumni-my.sharepoint.com/personal/pzx531_alumni_ku_dk/Documents/"/>
    </mc:Choice>
  </mc:AlternateContent>
  <xr:revisionPtr revIDLastSave="0" documentId="8_{1C92909D-4B68-48B9-AE41-BD53A67D24A6}" xr6:coauthVersionLast="47" xr6:coauthVersionMax="47" xr10:uidLastSave="{00000000-0000-0000-0000-000000000000}"/>
  <bookViews>
    <workbookView xWindow="-110" yWindow="-110" windowWidth="19420" windowHeight="11500" tabRatio="500" xr2:uid="{00000000-000D-0000-FFFF-FFFF00000000}"/>
  </bookViews>
  <sheets>
    <sheet name="Data" sheetId="2" r:id="rId1"/>
    <sheet name="Summary Table" sheetId="3" r:id="rId2"/>
  </sheets>
  <definedNames>
    <definedName name="_xlnm._FilterDatabase" localSheetId="0" hidden="1">Data!$A$1:$BA$61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Q61" i="2" l="1"/>
  <c r="AP61" i="2"/>
  <c r="AO61" i="2"/>
  <c r="AN61" i="2"/>
  <c r="AM61" i="2"/>
  <c r="AL61" i="2"/>
  <c r="AK61" i="2"/>
  <c r="AJ61" i="2"/>
  <c r="AI61" i="2"/>
  <c r="AH61" i="2"/>
  <c r="AD61" i="2"/>
  <c r="AC61" i="2"/>
  <c r="AB61" i="2"/>
  <c r="AA61" i="2"/>
  <c r="Z61" i="2"/>
  <c r="Y61" i="2"/>
  <c r="X61" i="2"/>
  <c r="W61" i="2"/>
  <c r="V61" i="2"/>
  <c r="U61" i="2"/>
  <c r="Q61" i="2"/>
  <c r="P61" i="2"/>
  <c r="O61" i="2"/>
  <c r="N61" i="2"/>
  <c r="M61" i="2"/>
  <c r="L61" i="2"/>
  <c r="K61" i="2"/>
  <c r="J61" i="2"/>
  <c r="I61" i="2"/>
  <c r="H61" i="2"/>
  <c r="AQ60" i="2"/>
  <c r="AP60" i="2"/>
  <c r="AO60" i="2"/>
  <c r="AN60" i="2"/>
  <c r="AM60" i="2"/>
  <c r="AL60" i="2"/>
  <c r="AK60" i="2"/>
  <c r="AJ60" i="2"/>
  <c r="AI60" i="2"/>
  <c r="AH60" i="2"/>
  <c r="AD60" i="2"/>
  <c r="AC60" i="2"/>
  <c r="AB60" i="2"/>
  <c r="AA60" i="2"/>
  <c r="Z60" i="2"/>
  <c r="Y60" i="2"/>
  <c r="X60" i="2"/>
  <c r="W60" i="2"/>
  <c r="V60" i="2"/>
  <c r="U60" i="2"/>
  <c r="Q60" i="2"/>
  <c r="P60" i="2"/>
  <c r="O60" i="2"/>
  <c r="N60" i="2"/>
  <c r="M60" i="2"/>
  <c r="L60" i="2"/>
  <c r="K60" i="2"/>
  <c r="J60" i="2"/>
  <c r="I60" i="2"/>
  <c r="H60" i="2"/>
  <c r="AQ59" i="2"/>
  <c r="AP59" i="2"/>
  <c r="AO59" i="2"/>
  <c r="AN59" i="2"/>
  <c r="AM59" i="2"/>
  <c r="AL59" i="2"/>
  <c r="AK59" i="2"/>
  <c r="AJ59" i="2"/>
  <c r="AI59" i="2"/>
  <c r="AH59" i="2"/>
  <c r="AD59" i="2"/>
  <c r="AC59" i="2"/>
  <c r="AB59" i="2"/>
  <c r="AA59" i="2"/>
  <c r="Z59" i="2"/>
  <c r="Y59" i="2"/>
  <c r="X59" i="2"/>
  <c r="W59" i="2"/>
  <c r="V59" i="2"/>
  <c r="U59" i="2"/>
  <c r="Q59" i="2"/>
  <c r="P59" i="2"/>
  <c r="O59" i="2"/>
  <c r="N59" i="2"/>
  <c r="M59" i="2"/>
  <c r="L59" i="2"/>
  <c r="K59" i="2"/>
  <c r="J59" i="2"/>
  <c r="I59" i="2"/>
  <c r="H59" i="2"/>
  <c r="AQ58" i="2"/>
  <c r="AP58" i="2"/>
  <c r="AO58" i="2"/>
  <c r="AN58" i="2"/>
  <c r="AM58" i="2"/>
  <c r="AL58" i="2"/>
  <c r="AK58" i="2"/>
  <c r="AJ58" i="2"/>
  <c r="AI58" i="2"/>
  <c r="AH58" i="2"/>
  <c r="AD58" i="2"/>
  <c r="AC58" i="2"/>
  <c r="AB58" i="2"/>
  <c r="AA58" i="2"/>
  <c r="Z58" i="2"/>
  <c r="Y58" i="2"/>
  <c r="X58" i="2"/>
  <c r="W58" i="2"/>
  <c r="V58" i="2"/>
  <c r="U58" i="2"/>
  <c r="Q58" i="2"/>
  <c r="P58" i="2"/>
  <c r="O58" i="2"/>
  <c r="N58" i="2"/>
  <c r="M58" i="2"/>
  <c r="L58" i="2"/>
  <c r="K58" i="2"/>
  <c r="J58" i="2"/>
  <c r="I58" i="2"/>
  <c r="H58" i="2"/>
  <c r="AQ57" i="2"/>
  <c r="AP57" i="2"/>
  <c r="AO57" i="2"/>
  <c r="AN57" i="2"/>
  <c r="AM57" i="2"/>
  <c r="AL57" i="2"/>
  <c r="AK57" i="2"/>
  <c r="AJ57" i="2"/>
  <c r="AI57" i="2"/>
  <c r="AH57" i="2"/>
  <c r="AD57" i="2"/>
  <c r="AC57" i="2"/>
  <c r="AB57" i="2"/>
  <c r="AA57" i="2"/>
  <c r="Z57" i="2"/>
  <c r="Y57" i="2"/>
  <c r="X57" i="2"/>
  <c r="W57" i="2"/>
  <c r="V57" i="2"/>
  <c r="U57" i="2"/>
  <c r="Q57" i="2"/>
  <c r="P57" i="2"/>
  <c r="O57" i="2"/>
  <c r="N57" i="2"/>
  <c r="M57" i="2"/>
  <c r="L57" i="2"/>
  <c r="K57" i="2"/>
  <c r="J57" i="2"/>
  <c r="I57" i="2"/>
  <c r="H57" i="2"/>
  <c r="AQ56" i="2"/>
  <c r="AP56" i="2"/>
  <c r="AO56" i="2"/>
  <c r="AN56" i="2"/>
  <c r="AM56" i="2"/>
  <c r="AL56" i="2"/>
  <c r="AK56" i="2"/>
  <c r="AJ56" i="2"/>
  <c r="AI56" i="2"/>
  <c r="AH56" i="2"/>
  <c r="AD56" i="2"/>
  <c r="AC56" i="2"/>
  <c r="AB56" i="2"/>
  <c r="AA56" i="2"/>
  <c r="Z56" i="2"/>
  <c r="Y56" i="2"/>
  <c r="X56" i="2"/>
  <c r="W56" i="2"/>
  <c r="V56" i="2"/>
  <c r="U56" i="2"/>
  <c r="Q56" i="2"/>
  <c r="P56" i="2"/>
  <c r="O56" i="2"/>
  <c r="N56" i="2"/>
  <c r="M56" i="2"/>
  <c r="L56" i="2"/>
  <c r="K56" i="2"/>
  <c r="J56" i="2"/>
  <c r="I56" i="2"/>
  <c r="H56" i="2"/>
  <c r="AQ55" i="2"/>
  <c r="AP55" i="2"/>
  <c r="AO55" i="2"/>
  <c r="AN55" i="2"/>
  <c r="AM55" i="2"/>
  <c r="AL55" i="2"/>
  <c r="AK55" i="2"/>
  <c r="AJ55" i="2"/>
  <c r="AI55" i="2"/>
  <c r="AH55" i="2"/>
  <c r="AD55" i="2"/>
  <c r="AC55" i="2"/>
  <c r="AB55" i="2"/>
  <c r="AA55" i="2"/>
  <c r="Z55" i="2"/>
  <c r="Y55" i="2"/>
  <c r="X55" i="2"/>
  <c r="W55" i="2"/>
  <c r="V55" i="2"/>
  <c r="U55" i="2"/>
  <c r="Q55" i="2"/>
  <c r="P55" i="2"/>
  <c r="O55" i="2"/>
  <c r="N55" i="2"/>
  <c r="M55" i="2"/>
  <c r="L55" i="2"/>
  <c r="K55" i="2"/>
  <c r="J55" i="2"/>
  <c r="I55" i="2"/>
  <c r="H55" i="2"/>
  <c r="AQ54" i="2"/>
  <c r="AP54" i="2"/>
  <c r="AO54" i="2"/>
  <c r="AN54" i="2"/>
  <c r="AM54" i="2"/>
  <c r="AL54" i="2"/>
  <c r="AK54" i="2"/>
  <c r="AJ54" i="2"/>
  <c r="AI54" i="2"/>
  <c r="AH54" i="2"/>
  <c r="AD54" i="2"/>
  <c r="AC54" i="2"/>
  <c r="AB54" i="2"/>
  <c r="AA54" i="2"/>
  <c r="Z54" i="2"/>
  <c r="Y54" i="2"/>
  <c r="X54" i="2"/>
  <c r="W54" i="2"/>
  <c r="V54" i="2"/>
  <c r="U54" i="2"/>
  <c r="Q54" i="2"/>
  <c r="P54" i="2"/>
  <c r="O54" i="2"/>
  <c r="N54" i="2"/>
  <c r="M54" i="2"/>
  <c r="L54" i="2"/>
  <c r="K54" i="2"/>
  <c r="J54" i="2"/>
  <c r="I54" i="2"/>
  <c r="H54" i="2"/>
  <c r="AQ53" i="2"/>
  <c r="AP53" i="2"/>
  <c r="AO53" i="2"/>
  <c r="AN53" i="2"/>
  <c r="AM53" i="2"/>
  <c r="AL53" i="2"/>
  <c r="AK53" i="2"/>
  <c r="AJ53" i="2"/>
  <c r="AI53" i="2"/>
  <c r="AH53" i="2"/>
  <c r="AD53" i="2"/>
  <c r="AC53" i="2"/>
  <c r="AB53" i="2"/>
  <c r="AA53" i="2"/>
  <c r="Z53" i="2"/>
  <c r="Y53" i="2"/>
  <c r="X53" i="2"/>
  <c r="W53" i="2"/>
  <c r="V53" i="2"/>
  <c r="U53" i="2"/>
  <c r="Q53" i="2"/>
  <c r="P53" i="2"/>
  <c r="O53" i="2"/>
  <c r="N53" i="2"/>
  <c r="M53" i="2"/>
  <c r="L53" i="2"/>
  <c r="K53" i="2"/>
  <c r="J53" i="2"/>
  <c r="I53" i="2"/>
  <c r="H53" i="2"/>
  <c r="AQ52" i="2"/>
  <c r="AP52" i="2"/>
  <c r="AO52" i="2"/>
  <c r="AN52" i="2"/>
  <c r="AM52" i="2"/>
  <c r="AL52" i="2"/>
  <c r="AK52" i="2"/>
  <c r="AJ52" i="2"/>
  <c r="AI52" i="2"/>
  <c r="AH52" i="2"/>
  <c r="AD52" i="2"/>
  <c r="AC52" i="2"/>
  <c r="AB52" i="2"/>
  <c r="AA52" i="2"/>
  <c r="Z52" i="2"/>
  <c r="Y52" i="2"/>
  <c r="X52" i="2"/>
  <c r="W52" i="2"/>
  <c r="V52" i="2"/>
  <c r="U52" i="2"/>
  <c r="Q52" i="2"/>
  <c r="P52" i="2"/>
  <c r="O52" i="2"/>
  <c r="N52" i="2"/>
  <c r="M52" i="2"/>
  <c r="L52" i="2"/>
  <c r="K52" i="2"/>
  <c r="J52" i="2"/>
  <c r="I52" i="2"/>
  <c r="H52" i="2"/>
  <c r="AQ51" i="2"/>
  <c r="AP51" i="2"/>
  <c r="AO51" i="2"/>
  <c r="AN51" i="2"/>
  <c r="AM51" i="2"/>
  <c r="AL51" i="2"/>
  <c r="AK51" i="2"/>
  <c r="AJ51" i="2"/>
  <c r="AI51" i="2"/>
  <c r="AH51" i="2"/>
  <c r="AD51" i="2"/>
  <c r="AC51" i="2"/>
  <c r="AB51" i="2"/>
  <c r="AA51" i="2"/>
  <c r="Z51" i="2"/>
  <c r="Y51" i="2"/>
  <c r="X51" i="2"/>
  <c r="W51" i="2"/>
  <c r="V51" i="2"/>
  <c r="U51" i="2"/>
  <c r="Q51" i="2"/>
  <c r="P51" i="2"/>
  <c r="O51" i="2"/>
  <c r="N51" i="2"/>
  <c r="M51" i="2"/>
  <c r="L51" i="2"/>
  <c r="K51" i="2"/>
  <c r="J51" i="2"/>
  <c r="I51" i="2"/>
  <c r="H51" i="2"/>
  <c r="AQ50" i="2"/>
  <c r="AP50" i="2"/>
  <c r="AO50" i="2"/>
  <c r="AN50" i="2"/>
  <c r="AM50" i="2"/>
  <c r="AL50" i="2"/>
  <c r="AK50" i="2"/>
  <c r="AJ50" i="2"/>
  <c r="AI50" i="2"/>
  <c r="AH50" i="2"/>
  <c r="AD50" i="2"/>
  <c r="AC50" i="2"/>
  <c r="AB50" i="2"/>
  <c r="AA50" i="2"/>
  <c r="Z50" i="2"/>
  <c r="Y50" i="2"/>
  <c r="X50" i="2"/>
  <c r="W50" i="2"/>
  <c r="V50" i="2"/>
  <c r="U50" i="2"/>
  <c r="Q50" i="2"/>
  <c r="P50" i="2"/>
  <c r="O50" i="2"/>
  <c r="N50" i="2"/>
  <c r="M50" i="2"/>
  <c r="L50" i="2"/>
  <c r="K50" i="2"/>
  <c r="J50" i="2"/>
  <c r="I50" i="2"/>
  <c r="H50" i="2"/>
  <c r="AQ49" i="2"/>
  <c r="AP49" i="2"/>
  <c r="AO49" i="2"/>
  <c r="AN49" i="2"/>
  <c r="AM49" i="2"/>
  <c r="AL49" i="2"/>
  <c r="AK49" i="2"/>
  <c r="AJ49" i="2"/>
  <c r="AI49" i="2"/>
  <c r="AH49" i="2"/>
  <c r="AD49" i="2"/>
  <c r="AC49" i="2"/>
  <c r="AB49" i="2"/>
  <c r="AA49" i="2"/>
  <c r="Z49" i="2"/>
  <c r="Y49" i="2"/>
  <c r="X49" i="2"/>
  <c r="W49" i="2"/>
  <c r="V49" i="2"/>
  <c r="U49" i="2"/>
  <c r="Q49" i="2"/>
  <c r="P49" i="2"/>
  <c r="O49" i="2"/>
  <c r="N49" i="2"/>
  <c r="M49" i="2"/>
  <c r="L49" i="2"/>
  <c r="K49" i="2"/>
  <c r="J49" i="2"/>
  <c r="I49" i="2"/>
  <c r="H49" i="2"/>
  <c r="AQ48" i="2"/>
  <c r="AP48" i="2"/>
  <c r="AO48" i="2"/>
  <c r="AN48" i="2"/>
  <c r="AM48" i="2"/>
  <c r="AL48" i="2"/>
  <c r="AK48" i="2"/>
  <c r="AJ48" i="2"/>
  <c r="AI48" i="2"/>
  <c r="AH48" i="2"/>
  <c r="AD48" i="2"/>
  <c r="AC48" i="2"/>
  <c r="AB48" i="2"/>
  <c r="AA48" i="2"/>
  <c r="Z48" i="2"/>
  <c r="Y48" i="2"/>
  <c r="X48" i="2"/>
  <c r="W48" i="2"/>
  <c r="V48" i="2"/>
  <c r="U48" i="2"/>
  <c r="Q48" i="2"/>
  <c r="P48" i="2"/>
  <c r="O48" i="2"/>
  <c r="N48" i="2"/>
  <c r="M48" i="2"/>
  <c r="L48" i="2"/>
  <c r="K48" i="2"/>
  <c r="J48" i="2"/>
  <c r="I48" i="2"/>
  <c r="H48" i="2"/>
  <c r="AQ47" i="2"/>
  <c r="AP47" i="2"/>
  <c r="AO47" i="2"/>
  <c r="AN47" i="2"/>
  <c r="AM47" i="2"/>
  <c r="AL47" i="2"/>
  <c r="AK47" i="2"/>
  <c r="AJ47" i="2"/>
  <c r="AI47" i="2"/>
  <c r="AH47" i="2"/>
  <c r="AD47" i="2"/>
  <c r="AC47" i="2"/>
  <c r="AB47" i="2"/>
  <c r="AA47" i="2"/>
  <c r="Z47" i="2"/>
  <c r="Y47" i="2"/>
  <c r="X47" i="2"/>
  <c r="W47" i="2"/>
  <c r="V47" i="2"/>
  <c r="U47" i="2"/>
  <c r="Q47" i="2"/>
  <c r="P47" i="2"/>
  <c r="O47" i="2"/>
  <c r="N47" i="2"/>
  <c r="M47" i="2"/>
  <c r="L47" i="2"/>
  <c r="K47" i="2"/>
  <c r="J47" i="2"/>
  <c r="I47" i="2"/>
  <c r="H47" i="2"/>
  <c r="AQ46" i="2"/>
  <c r="AP46" i="2"/>
  <c r="AO46" i="2"/>
  <c r="AN46" i="2"/>
  <c r="AM46" i="2"/>
  <c r="AL46" i="2"/>
  <c r="AK46" i="2"/>
  <c r="AJ46" i="2"/>
  <c r="AI46" i="2"/>
  <c r="AH46" i="2"/>
  <c r="AD46" i="2"/>
  <c r="AC46" i="2"/>
  <c r="AB46" i="2"/>
  <c r="AA46" i="2"/>
  <c r="Z46" i="2"/>
  <c r="Y46" i="2"/>
  <c r="X46" i="2"/>
  <c r="W46" i="2"/>
  <c r="V46" i="2"/>
  <c r="U46" i="2"/>
  <c r="Q46" i="2"/>
  <c r="P46" i="2"/>
  <c r="O46" i="2"/>
  <c r="N46" i="2"/>
  <c r="M46" i="2"/>
  <c r="L46" i="2"/>
  <c r="K46" i="2"/>
  <c r="J46" i="2"/>
  <c r="I46" i="2"/>
  <c r="H46" i="2"/>
  <c r="AQ45" i="2"/>
  <c r="AP45" i="2"/>
  <c r="AO45" i="2"/>
  <c r="AN45" i="2"/>
  <c r="AM45" i="2"/>
  <c r="AL45" i="2"/>
  <c r="AK45" i="2"/>
  <c r="AJ45" i="2"/>
  <c r="AI45" i="2"/>
  <c r="AH45" i="2"/>
  <c r="AD45" i="2"/>
  <c r="AC45" i="2"/>
  <c r="AB45" i="2"/>
  <c r="AA45" i="2"/>
  <c r="Z45" i="2"/>
  <c r="Y45" i="2"/>
  <c r="X45" i="2"/>
  <c r="W45" i="2"/>
  <c r="V45" i="2"/>
  <c r="U45" i="2"/>
  <c r="Q45" i="2"/>
  <c r="P45" i="2"/>
  <c r="O45" i="2"/>
  <c r="N45" i="2"/>
  <c r="M45" i="2"/>
  <c r="L45" i="2"/>
  <c r="K45" i="2"/>
  <c r="J45" i="2"/>
  <c r="I45" i="2"/>
  <c r="H45" i="2"/>
  <c r="AQ44" i="2"/>
  <c r="AP44" i="2"/>
  <c r="AO44" i="2"/>
  <c r="AN44" i="2"/>
  <c r="AM44" i="2"/>
  <c r="AL44" i="2"/>
  <c r="AK44" i="2"/>
  <c r="AJ44" i="2"/>
  <c r="AI44" i="2"/>
  <c r="AH44" i="2"/>
  <c r="AD44" i="2"/>
  <c r="AC44" i="2"/>
  <c r="AB44" i="2"/>
  <c r="AA44" i="2"/>
  <c r="Z44" i="2"/>
  <c r="Y44" i="2"/>
  <c r="X44" i="2"/>
  <c r="W44" i="2"/>
  <c r="V44" i="2"/>
  <c r="U44" i="2"/>
  <c r="Q44" i="2"/>
  <c r="P44" i="2"/>
  <c r="O44" i="2"/>
  <c r="N44" i="2"/>
  <c r="M44" i="2"/>
  <c r="L44" i="2"/>
  <c r="K44" i="2"/>
  <c r="J44" i="2"/>
  <c r="I44" i="2"/>
  <c r="H44" i="2"/>
  <c r="AQ43" i="2"/>
  <c r="AP43" i="2"/>
  <c r="AO43" i="2"/>
  <c r="AN43" i="2"/>
  <c r="AM43" i="2"/>
  <c r="AL43" i="2"/>
  <c r="AK43" i="2"/>
  <c r="AJ43" i="2"/>
  <c r="AI43" i="2"/>
  <c r="AH43" i="2"/>
  <c r="AD43" i="2"/>
  <c r="AC43" i="2"/>
  <c r="AB43" i="2"/>
  <c r="AA43" i="2"/>
  <c r="Z43" i="2"/>
  <c r="Y43" i="2"/>
  <c r="X43" i="2"/>
  <c r="W43" i="2"/>
  <c r="V43" i="2"/>
  <c r="U43" i="2"/>
  <c r="Q43" i="2"/>
  <c r="P43" i="2"/>
  <c r="O43" i="2"/>
  <c r="N43" i="2"/>
  <c r="M43" i="2"/>
  <c r="L43" i="2"/>
  <c r="K43" i="2"/>
  <c r="J43" i="2"/>
  <c r="I43" i="2"/>
  <c r="H43" i="2"/>
  <c r="AQ42" i="2"/>
  <c r="AP42" i="2"/>
  <c r="AO42" i="2"/>
  <c r="AN42" i="2"/>
  <c r="AM42" i="2"/>
  <c r="AL42" i="2"/>
  <c r="AK42" i="2"/>
  <c r="AJ42" i="2"/>
  <c r="AI42" i="2"/>
  <c r="AH42" i="2"/>
  <c r="AD42" i="2"/>
  <c r="AC42" i="2"/>
  <c r="AB42" i="2"/>
  <c r="AA42" i="2"/>
  <c r="Z42" i="2"/>
  <c r="Y42" i="2"/>
  <c r="X42" i="2"/>
  <c r="W42" i="2"/>
  <c r="V42" i="2"/>
  <c r="U42" i="2"/>
  <c r="Q42" i="2"/>
  <c r="P42" i="2"/>
  <c r="O42" i="2"/>
  <c r="N42" i="2"/>
  <c r="M42" i="2"/>
  <c r="L42" i="2"/>
  <c r="K42" i="2"/>
  <c r="J42" i="2"/>
  <c r="I42" i="2"/>
  <c r="H42" i="2"/>
  <c r="AQ41" i="2"/>
  <c r="AP41" i="2"/>
  <c r="AO41" i="2"/>
  <c r="AN41" i="2"/>
  <c r="AM41" i="2"/>
  <c r="AL41" i="2"/>
  <c r="AK41" i="2"/>
  <c r="AJ41" i="2"/>
  <c r="AI41" i="2"/>
  <c r="AH41" i="2"/>
  <c r="AD41" i="2"/>
  <c r="AC41" i="2"/>
  <c r="AB41" i="2"/>
  <c r="AA41" i="2"/>
  <c r="Z41" i="2"/>
  <c r="Y41" i="2"/>
  <c r="X41" i="2"/>
  <c r="W41" i="2"/>
  <c r="V41" i="2"/>
  <c r="U41" i="2"/>
  <c r="Q41" i="2"/>
  <c r="P41" i="2"/>
  <c r="O41" i="2"/>
  <c r="N41" i="2"/>
  <c r="M41" i="2"/>
  <c r="L41" i="2"/>
  <c r="K41" i="2"/>
  <c r="J41" i="2"/>
  <c r="I41" i="2"/>
  <c r="H41" i="2"/>
  <c r="AQ40" i="2"/>
  <c r="AP40" i="2"/>
  <c r="AO40" i="2"/>
  <c r="AN40" i="2"/>
  <c r="AM40" i="2"/>
  <c r="AL40" i="2"/>
  <c r="AK40" i="2"/>
  <c r="AJ40" i="2"/>
  <c r="AI40" i="2"/>
  <c r="AH40" i="2"/>
  <c r="AD40" i="2"/>
  <c r="AC40" i="2"/>
  <c r="AB40" i="2"/>
  <c r="AA40" i="2"/>
  <c r="Z40" i="2"/>
  <c r="Y40" i="2"/>
  <c r="X40" i="2"/>
  <c r="W40" i="2"/>
  <c r="V40" i="2"/>
  <c r="U40" i="2"/>
  <c r="Q40" i="2"/>
  <c r="P40" i="2"/>
  <c r="O40" i="2"/>
  <c r="N40" i="2"/>
  <c r="M40" i="2"/>
  <c r="L40" i="2"/>
  <c r="K40" i="2"/>
  <c r="J40" i="2"/>
  <c r="I40" i="2"/>
  <c r="H40" i="2"/>
  <c r="AQ39" i="2"/>
  <c r="AP39" i="2"/>
  <c r="AO39" i="2"/>
  <c r="AN39" i="2"/>
  <c r="AM39" i="2"/>
  <c r="AL39" i="2"/>
  <c r="AK39" i="2"/>
  <c r="AJ39" i="2"/>
  <c r="AI39" i="2"/>
  <c r="AH39" i="2"/>
  <c r="AD39" i="2"/>
  <c r="AC39" i="2"/>
  <c r="AB39" i="2"/>
  <c r="AA39" i="2"/>
  <c r="Z39" i="2"/>
  <c r="Y39" i="2"/>
  <c r="X39" i="2"/>
  <c r="W39" i="2"/>
  <c r="V39" i="2"/>
  <c r="U39" i="2"/>
  <c r="Q39" i="2"/>
  <c r="P39" i="2"/>
  <c r="O39" i="2"/>
  <c r="N39" i="2"/>
  <c r="M39" i="2"/>
  <c r="L39" i="2"/>
  <c r="K39" i="2"/>
  <c r="J39" i="2"/>
  <c r="I39" i="2"/>
  <c r="H39" i="2"/>
  <c r="AQ38" i="2"/>
  <c r="AP38" i="2"/>
  <c r="AO38" i="2"/>
  <c r="AN38" i="2"/>
  <c r="AM38" i="2"/>
  <c r="AL38" i="2"/>
  <c r="AK38" i="2"/>
  <c r="AJ38" i="2"/>
  <c r="AI38" i="2"/>
  <c r="AH38" i="2"/>
  <c r="AD38" i="2"/>
  <c r="AC38" i="2"/>
  <c r="AB38" i="2"/>
  <c r="AA38" i="2"/>
  <c r="Z38" i="2"/>
  <c r="Y38" i="2"/>
  <c r="X38" i="2"/>
  <c r="W38" i="2"/>
  <c r="V38" i="2"/>
  <c r="U38" i="2"/>
  <c r="Q38" i="2"/>
  <c r="P38" i="2"/>
  <c r="O38" i="2"/>
  <c r="N38" i="2"/>
  <c r="M38" i="2"/>
  <c r="L38" i="2"/>
  <c r="K38" i="2"/>
  <c r="J38" i="2"/>
  <c r="I38" i="2"/>
  <c r="H38" i="2"/>
  <c r="AQ37" i="2"/>
  <c r="AP37" i="2"/>
  <c r="AO37" i="2"/>
  <c r="AN37" i="2"/>
  <c r="AM37" i="2"/>
  <c r="AL37" i="2"/>
  <c r="AK37" i="2"/>
  <c r="AJ37" i="2"/>
  <c r="AI37" i="2"/>
  <c r="AH37" i="2"/>
  <c r="AD37" i="2"/>
  <c r="AC37" i="2"/>
  <c r="AB37" i="2"/>
  <c r="AA37" i="2"/>
  <c r="Z37" i="2"/>
  <c r="Y37" i="2"/>
  <c r="X37" i="2"/>
  <c r="W37" i="2"/>
  <c r="V37" i="2"/>
  <c r="U37" i="2"/>
  <c r="Q37" i="2"/>
  <c r="P37" i="2"/>
  <c r="O37" i="2"/>
  <c r="N37" i="2"/>
  <c r="M37" i="2"/>
  <c r="L37" i="2"/>
  <c r="K37" i="2"/>
  <c r="J37" i="2"/>
  <c r="I37" i="2"/>
  <c r="H37" i="2"/>
  <c r="AQ36" i="2"/>
  <c r="AP36" i="2"/>
  <c r="AO36" i="2"/>
  <c r="AN36" i="2"/>
  <c r="AM36" i="2"/>
  <c r="AL36" i="2"/>
  <c r="AK36" i="2"/>
  <c r="AJ36" i="2"/>
  <c r="AI36" i="2"/>
  <c r="AH36" i="2"/>
  <c r="AD36" i="2"/>
  <c r="AC36" i="2"/>
  <c r="AB36" i="2"/>
  <c r="AA36" i="2"/>
  <c r="Z36" i="2"/>
  <c r="Y36" i="2"/>
  <c r="X36" i="2"/>
  <c r="W36" i="2"/>
  <c r="V36" i="2"/>
  <c r="U36" i="2"/>
  <c r="Q36" i="2"/>
  <c r="P36" i="2"/>
  <c r="O36" i="2"/>
  <c r="N36" i="2"/>
  <c r="M36" i="2"/>
  <c r="L36" i="2"/>
  <c r="K36" i="2"/>
  <c r="J36" i="2"/>
  <c r="I36" i="2"/>
  <c r="H36" i="2"/>
  <c r="AQ35" i="2"/>
  <c r="AP35" i="2"/>
  <c r="AO35" i="2"/>
  <c r="AN35" i="2"/>
  <c r="AM35" i="2"/>
  <c r="AL35" i="2"/>
  <c r="AK35" i="2"/>
  <c r="AJ35" i="2"/>
  <c r="AI35" i="2"/>
  <c r="AH35" i="2"/>
  <c r="AD35" i="2"/>
  <c r="AC35" i="2"/>
  <c r="AB35" i="2"/>
  <c r="AA35" i="2"/>
  <c r="Z35" i="2"/>
  <c r="Y35" i="2"/>
  <c r="X35" i="2"/>
  <c r="W35" i="2"/>
  <c r="V35" i="2"/>
  <c r="U35" i="2"/>
  <c r="Q35" i="2"/>
  <c r="P35" i="2"/>
  <c r="O35" i="2"/>
  <c r="N35" i="2"/>
  <c r="M35" i="2"/>
  <c r="L35" i="2"/>
  <c r="K35" i="2"/>
  <c r="J35" i="2"/>
  <c r="I35" i="2"/>
  <c r="H35" i="2"/>
  <c r="AQ34" i="2"/>
  <c r="AP34" i="2"/>
  <c r="AO34" i="2"/>
  <c r="AN34" i="2"/>
  <c r="AM34" i="2"/>
  <c r="AL34" i="2"/>
  <c r="AK34" i="2"/>
  <c r="AJ34" i="2"/>
  <c r="AI34" i="2"/>
  <c r="AH34" i="2"/>
  <c r="AD34" i="2"/>
  <c r="AC34" i="2"/>
  <c r="AB34" i="2"/>
  <c r="AA34" i="2"/>
  <c r="Z34" i="2"/>
  <c r="Y34" i="2"/>
  <c r="X34" i="2"/>
  <c r="W34" i="2"/>
  <c r="V34" i="2"/>
  <c r="U34" i="2"/>
  <c r="Q34" i="2"/>
  <c r="P34" i="2"/>
  <c r="O34" i="2"/>
  <c r="N34" i="2"/>
  <c r="M34" i="2"/>
  <c r="L34" i="2"/>
  <c r="K34" i="2"/>
  <c r="J34" i="2"/>
  <c r="I34" i="2"/>
  <c r="H34" i="2"/>
  <c r="AQ33" i="2"/>
  <c r="AP33" i="2"/>
  <c r="AO33" i="2"/>
  <c r="AN33" i="2"/>
  <c r="AM33" i="2"/>
  <c r="AL33" i="2"/>
  <c r="AK33" i="2"/>
  <c r="AJ33" i="2"/>
  <c r="AI33" i="2"/>
  <c r="AH33" i="2"/>
  <c r="AD33" i="2"/>
  <c r="AC33" i="2"/>
  <c r="AB33" i="2"/>
  <c r="AA33" i="2"/>
  <c r="Z33" i="2"/>
  <c r="Y33" i="2"/>
  <c r="X33" i="2"/>
  <c r="W33" i="2"/>
  <c r="V33" i="2"/>
  <c r="U33" i="2"/>
  <c r="Q33" i="2"/>
  <c r="P33" i="2"/>
  <c r="O33" i="2"/>
  <c r="N33" i="2"/>
  <c r="M33" i="2"/>
  <c r="L33" i="2"/>
  <c r="K33" i="2"/>
  <c r="J33" i="2"/>
  <c r="I33" i="2"/>
  <c r="H33" i="2"/>
  <c r="AQ32" i="2"/>
  <c r="AP32" i="2"/>
  <c r="AO32" i="2"/>
  <c r="AN32" i="2"/>
  <c r="AM32" i="2"/>
  <c r="AL32" i="2"/>
  <c r="AK32" i="2"/>
  <c r="AJ32" i="2"/>
  <c r="AI32" i="2"/>
  <c r="AH32" i="2"/>
  <c r="AD32" i="2"/>
  <c r="AC32" i="2"/>
  <c r="AB32" i="2"/>
  <c r="AA32" i="2"/>
  <c r="Z32" i="2"/>
  <c r="Y32" i="2"/>
  <c r="X32" i="2"/>
  <c r="W32" i="2"/>
  <c r="V32" i="2"/>
  <c r="U32" i="2"/>
  <c r="Q32" i="2"/>
  <c r="P32" i="2"/>
  <c r="O32" i="2"/>
  <c r="N32" i="2"/>
  <c r="M32" i="2"/>
  <c r="L32" i="2"/>
  <c r="K32" i="2"/>
  <c r="J32" i="2"/>
  <c r="I32" i="2"/>
  <c r="H32" i="2"/>
  <c r="AQ31" i="2"/>
  <c r="AP31" i="2"/>
  <c r="AO31" i="2"/>
  <c r="AN31" i="2"/>
  <c r="AM31" i="2"/>
  <c r="AL31" i="2"/>
  <c r="AK31" i="2"/>
  <c r="AJ31" i="2"/>
  <c r="AI31" i="2"/>
  <c r="AH31" i="2"/>
  <c r="AD31" i="2"/>
  <c r="AC31" i="2"/>
  <c r="AB31" i="2"/>
  <c r="AA31" i="2"/>
  <c r="Z31" i="2"/>
  <c r="Y31" i="2"/>
  <c r="X31" i="2"/>
  <c r="W31" i="2"/>
  <c r="V31" i="2"/>
  <c r="U31" i="2"/>
  <c r="Q31" i="2"/>
  <c r="P31" i="2"/>
  <c r="O31" i="2"/>
  <c r="N31" i="2"/>
  <c r="M31" i="2"/>
  <c r="L31" i="2"/>
  <c r="K31" i="2"/>
  <c r="J31" i="2"/>
  <c r="I31" i="2"/>
  <c r="H31" i="2"/>
  <c r="AQ30" i="2"/>
  <c r="AP30" i="2"/>
  <c r="AO30" i="2"/>
  <c r="AN30" i="2"/>
  <c r="AM30" i="2"/>
  <c r="AL30" i="2"/>
  <c r="AK30" i="2"/>
  <c r="AJ30" i="2"/>
  <c r="AI30" i="2"/>
  <c r="AH30" i="2"/>
  <c r="AD30" i="2"/>
  <c r="AC30" i="2"/>
  <c r="AB30" i="2"/>
  <c r="AA30" i="2"/>
  <c r="Z30" i="2"/>
  <c r="Y30" i="2"/>
  <c r="X30" i="2"/>
  <c r="W30" i="2"/>
  <c r="V30" i="2"/>
  <c r="U30" i="2"/>
  <c r="Q30" i="2"/>
  <c r="P30" i="2"/>
  <c r="O30" i="2"/>
  <c r="N30" i="2"/>
  <c r="M30" i="2"/>
  <c r="L30" i="2"/>
  <c r="K30" i="2"/>
  <c r="J30" i="2"/>
  <c r="I30" i="2"/>
  <c r="H30" i="2"/>
  <c r="AQ29" i="2"/>
  <c r="AP29" i="2"/>
  <c r="AO29" i="2"/>
  <c r="AN29" i="2"/>
  <c r="AM29" i="2"/>
  <c r="AL29" i="2"/>
  <c r="AK29" i="2"/>
  <c r="AJ29" i="2"/>
  <c r="AI29" i="2"/>
  <c r="AH29" i="2"/>
  <c r="AD29" i="2"/>
  <c r="AC29" i="2"/>
  <c r="AB29" i="2"/>
  <c r="AA29" i="2"/>
  <c r="Z29" i="2"/>
  <c r="Y29" i="2"/>
  <c r="X29" i="2"/>
  <c r="W29" i="2"/>
  <c r="V29" i="2"/>
  <c r="U29" i="2"/>
  <c r="Q29" i="2"/>
  <c r="P29" i="2"/>
  <c r="O29" i="2"/>
  <c r="N29" i="2"/>
  <c r="M29" i="2"/>
  <c r="L29" i="2"/>
  <c r="K29" i="2"/>
  <c r="J29" i="2"/>
  <c r="I29" i="2"/>
  <c r="H29" i="2"/>
  <c r="AQ28" i="2"/>
  <c r="AP28" i="2"/>
  <c r="AO28" i="2"/>
  <c r="AN28" i="2"/>
  <c r="AM28" i="2"/>
  <c r="AL28" i="2"/>
  <c r="AK28" i="2"/>
  <c r="AJ28" i="2"/>
  <c r="AI28" i="2"/>
  <c r="AH28" i="2"/>
  <c r="AD28" i="2"/>
  <c r="AC28" i="2"/>
  <c r="AB28" i="2"/>
  <c r="AA28" i="2"/>
  <c r="Z28" i="2"/>
  <c r="Y28" i="2"/>
  <c r="X28" i="2"/>
  <c r="W28" i="2"/>
  <c r="V28" i="2"/>
  <c r="U28" i="2"/>
  <c r="Q28" i="2"/>
  <c r="P28" i="2"/>
  <c r="O28" i="2"/>
  <c r="N28" i="2"/>
  <c r="M28" i="2"/>
  <c r="L28" i="2"/>
  <c r="K28" i="2"/>
  <c r="J28" i="2"/>
  <c r="I28" i="2"/>
  <c r="H28" i="2"/>
  <c r="AQ27" i="2"/>
  <c r="AP27" i="2"/>
  <c r="AO27" i="2"/>
  <c r="AN27" i="2"/>
  <c r="AM27" i="2"/>
  <c r="AL27" i="2"/>
  <c r="AK27" i="2"/>
  <c r="AJ27" i="2"/>
  <c r="AI27" i="2"/>
  <c r="AH27" i="2"/>
  <c r="AD27" i="2"/>
  <c r="AC27" i="2"/>
  <c r="AB27" i="2"/>
  <c r="AA27" i="2"/>
  <c r="Z27" i="2"/>
  <c r="Y27" i="2"/>
  <c r="X27" i="2"/>
  <c r="W27" i="2"/>
  <c r="V27" i="2"/>
  <c r="U27" i="2"/>
  <c r="Q27" i="2"/>
  <c r="P27" i="2"/>
  <c r="O27" i="2"/>
  <c r="N27" i="2"/>
  <c r="M27" i="2"/>
  <c r="L27" i="2"/>
  <c r="K27" i="2"/>
  <c r="J27" i="2"/>
  <c r="I27" i="2"/>
  <c r="H27" i="2"/>
  <c r="AQ26" i="2"/>
  <c r="AP26" i="2"/>
  <c r="AO26" i="2"/>
  <c r="AN26" i="2"/>
  <c r="AM26" i="2"/>
  <c r="AL26" i="2"/>
  <c r="AK26" i="2"/>
  <c r="AJ26" i="2"/>
  <c r="AI26" i="2"/>
  <c r="AH26" i="2"/>
  <c r="AD26" i="2"/>
  <c r="AC26" i="2"/>
  <c r="AB26" i="2"/>
  <c r="AA26" i="2"/>
  <c r="Z26" i="2"/>
  <c r="Y26" i="2"/>
  <c r="X26" i="2"/>
  <c r="W26" i="2"/>
  <c r="V26" i="2"/>
  <c r="U26" i="2"/>
  <c r="Q26" i="2"/>
  <c r="P26" i="2"/>
  <c r="O26" i="2"/>
  <c r="N26" i="2"/>
  <c r="M26" i="2"/>
  <c r="L26" i="2"/>
  <c r="K26" i="2"/>
  <c r="J26" i="2"/>
  <c r="I26" i="2"/>
  <c r="H26" i="2"/>
  <c r="AQ25" i="2"/>
  <c r="AP25" i="2"/>
  <c r="AO25" i="2"/>
  <c r="AN25" i="2"/>
  <c r="AM25" i="2"/>
  <c r="AL25" i="2"/>
  <c r="AK25" i="2"/>
  <c r="AJ25" i="2"/>
  <c r="AI25" i="2"/>
  <c r="AH25" i="2"/>
  <c r="AD25" i="2"/>
  <c r="AC25" i="2"/>
  <c r="AB25" i="2"/>
  <c r="AA25" i="2"/>
  <c r="Z25" i="2"/>
  <c r="Y25" i="2"/>
  <c r="X25" i="2"/>
  <c r="W25" i="2"/>
  <c r="V25" i="2"/>
  <c r="U25" i="2"/>
  <c r="Q25" i="2"/>
  <c r="P25" i="2"/>
  <c r="O25" i="2"/>
  <c r="N25" i="2"/>
  <c r="M25" i="2"/>
  <c r="L25" i="2"/>
  <c r="K25" i="2"/>
  <c r="J25" i="2"/>
  <c r="I25" i="2"/>
  <c r="H25" i="2"/>
  <c r="AQ24" i="2"/>
  <c r="AP24" i="2"/>
  <c r="AO24" i="2"/>
  <c r="AN24" i="2"/>
  <c r="AM24" i="2"/>
  <c r="AL24" i="2"/>
  <c r="AK24" i="2"/>
  <c r="AJ24" i="2"/>
  <c r="AI24" i="2"/>
  <c r="AH24" i="2"/>
  <c r="AD24" i="2"/>
  <c r="AC24" i="2"/>
  <c r="AB24" i="2"/>
  <c r="AA24" i="2"/>
  <c r="Z24" i="2"/>
  <c r="Y24" i="2"/>
  <c r="X24" i="2"/>
  <c r="W24" i="2"/>
  <c r="V24" i="2"/>
  <c r="U24" i="2"/>
  <c r="Q24" i="2"/>
  <c r="P24" i="2"/>
  <c r="O24" i="2"/>
  <c r="N24" i="2"/>
  <c r="M24" i="2"/>
  <c r="L24" i="2"/>
  <c r="K24" i="2"/>
  <c r="J24" i="2"/>
  <c r="I24" i="2"/>
  <c r="H24" i="2"/>
  <c r="AQ23" i="2"/>
  <c r="AP23" i="2"/>
  <c r="AO23" i="2"/>
  <c r="AN23" i="2"/>
  <c r="AM23" i="2"/>
  <c r="AL23" i="2"/>
  <c r="AK23" i="2"/>
  <c r="AJ23" i="2"/>
  <c r="AI23" i="2"/>
  <c r="AH23" i="2"/>
  <c r="AD23" i="2"/>
  <c r="AC23" i="2"/>
  <c r="AB23" i="2"/>
  <c r="AA23" i="2"/>
  <c r="Z23" i="2"/>
  <c r="Y23" i="2"/>
  <c r="X23" i="2"/>
  <c r="W23" i="2"/>
  <c r="V23" i="2"/>
  <c r="U23" i="2"/>
  <c r="Q23" i="2"/>
  <c r="P23" i="2"/>
  <c r="O23" i="2"/>
  <c r="N23" i="2"/>
  <c r="M23" i="2"/>
  <c r="L23" i="2"/>
  <c r="K23" i="2"/>
  <c r="J23" i="2"/>
  <c r="I23" i="2"/>
  <c r="H23" i="2"/>
  <c r="AQ22" i="2"/>
  <c r="AP22" i="2"/>
  <c r="AO22" i="2"/>
  <c r="AN22" i="2"/>
  <c r="AM22" i="2"/>
  <c r="AL22" i="2"/>
  <c r="AK22" i="2"/>
  <c r="AJ22" i="2"/>
  <c r="AI22" i="2"/>
  <c r="AH22" i="2"/>
  <c r="AD22" i="2"/>
  <c r="AC22" i="2"/>
  <c r="AB22" i="2"/>
  <c r="AA22" i="2"/>
  <c r="Z22" i="2"/>
  <c r="Y22" i="2"/>
  <c r="X22" i="2"/>
  <c r="W22" i="2"/>
  <c r="V22" i="2"/>
  <c r="U22" i="2"/>
  <c r="Q22" i="2"/>
  <c r="P22" i="2"/>
  <c r="O22" i="2"/>
  <c r="N22" i="2"/>
  <c r="M22" i="2"/>
  <c r="L22" i="2"/>
  <c r="K22" i="2"/>
  <c r="J22" i="2"/>
  <c r="I22" i="2"/>
  <c r="H22" i="2"/>
  <c r="AQ21" i="2"/>
  <c r="AP21" i="2"/>
  <c r="AO21" i="2"/>
  <c r="AN21" i="2"/>
  <c r="AM21" i="2"/>
  <c r="AL21" i="2"/>
  <c r="AK21" i="2"/>
  <c r="AJ21" i="2"/>
  <c r="AI21" i="2"/>
  <c r="AH21" i="2"/>
  <c r="AD21" i="2"/>
  <c r="AC21" i="2"/>
  <c r="AB21" i="2"/>
  <c r="AA21" i="2"/>
  <c r="Z21" i="2"/>
  <c r="Y21" i="2"/>
  <c r="X21" i="2"/>
  <c r="W21" i="2"/>
  <c r="V21" i="2"/>
  <c r="U21" i="2"/>
  <c r="Q21" i="2"/>
  <c r="P21" i="2"/>
  <c r="O21" i="2"/>
  <c r="N21" i="2"/>
  <c r="M21" i="2"/>
  <c r="L21" i="2"/>
  <c r="K21" i="2"/>
  <c r="J21" i="2"/>
  <c r="I21" i="2"/>
  <c r="H21" i="2"/>
  <c r="AQ20" i="2"/>
  <c r="AP20" i="2"/>
  <c r="AO20" i="2"/>
  <c r="AN20" i="2"/>
  <c r="AM20" i="2"/>
  <c r="AL20" i="2"/>
  <c r="AK20" i="2"/>
  <c r="AJ20" i="2"/>
  <c r="AI20" i="2"/>
  <c r="AH20" i="2"/>
  <c r="AD20" i="2"/>
  <c r="AC20" i="2"/>
  <c r="AB20" i="2"/>
  <c r="AA20" i="2"/>
  <c r="Z20" i="2"/>
  <c r="Y20" i="2"/>
  <c r="X20" i="2"/>
  <c r="W20" i="2"/>
  <c r="V20" i="2"/>
  <c r="U20" i="2"/>
  <c r="Q20" i="2"/>
  <c r="P20" i="2"/>
  <c r="O20" i="2"/>
  <c r="N20" i="2"/>
  <c r="M20" i="2"/>
  <c r="L20" i="2"/>
  <c r="K20" i="2"/>
  <c r="J20" i="2"/>
  <c r="I20" i="2"/>
  <c r="H20" i="2"/>
  <c r="AQ19" i="2"/>
  <c r="AP19" i="2"/>
  <c r="AO19" i="2"/>
  <c r="AN19" i="2"/>
  <c r="AM19" i="2"/>
  <c r="AL19" i="2"/>
  <c r="AK19" i="2"/>
  <c r="AJ19" i="2"/>
  <c r="AI19" i="2"/>
  <c r="AH19" i="2"/>
  <c r="AD19" i="2"/>
  <c r="AC19" i="2"/>
  <c r="AB19" i="2"/>
  <c r="AA19" i="2"/>
  <c r="Z19" i="2"/>
  <c r="Y19" i="2"/>
  <c r="X19" i="2"/>
  <c r="W19" i="2"/>
  <c r="V19" i="2"/>
  <c r="U19" i="2"/>
  <c r="Q19" i="2"/>
  <c r="P19" i="2"/>
  <c r="O19" i="2"/>
  <c r="N19" i="2"/>
  <c r="M19" i="2"/>
  <c r="L19" i="2"/>
  <c r="K19" i="2"/>
  <c r="J19" i="2"/>
  <c r="I19" i="2"/>
  <c r="H19" i="2"/>
  <c r="AQ18" i="2"/>
  <c r="AP18" i="2"/>
  <c r="AO18" i="2"/>
  <c r="AN18" i="2"/>
  <c r="AM18" i="2"/>
  <c r="AL18" i="2"/>
  <c r="AK18" i="2"/>
  <c r="AJ18" i="2"/>
  <c r="AI18" i="2"/>
  <c r="AH18" i="2"/>
  <c r="AD18" i="2"/>
  <c r="AC18" i="2"/>
  <c r="AB18" i="2"/>
  <c r="AA18" i="2"/>
  <c r="Z18" i="2"/>
  <c r="Y18" i="2"/>
  <c r="X18" i="2"/>
  <c r="W18" i="2"/>
  <c r="V18" i="2"/>
  <c r="U18" i="2"/>
  <c r="Q18" i="2"/>
  <c r="P18" i="2"/>
  <c r="O18" i="2"/>
  <c r="N18" i="2"/>
  <c r="M18" i="2"/>
  <c r="L18" i="2"/>
  <c r="K18" i="2"/>
  <c r="J18" i="2"/>
  <c r="I18" i="2"/>
  <c r="H18" i="2"/>
  <c r="AQ17" i="2"/>
  <c r="AP17" i="2"/>
  <c r="AO17" i="2"/>
  <c r="AN17" i="2"/>
  <c r="AM17" i="2"/>
  <c r="AL17" i="2"/>
  <c r="AK17" i="2"/>
  <c r="AJ17" i="2"/>
  <c r="AI17" i="2"/>
  <c r="AH17" i="2"/>
  <c r="AD17" i="2"/>
  <c r="AC17" i="2"/>
  <c r="AB17" i="2"/>
  <c r="AA17" i="2"/>
  <c r="Z17" i="2"/>
  <c r="Y17" i="2"/>
  <c r="X17" i="2"/>
  <c r="W17" i="2"/>
  <c r="V17" i="2"/>
  <c r="U17" i="2"/>
  <c r="Q17" i="2"/>
  <c r="P17" i="2"/>
  <c r="O17" i="2"/>
  <c r="N17" i="2"/>
  <c r="M17" i="2"/>
  <c r="L17" i="2"/>
  <c r="K17" i="2"/>
  <c r="J17" i="2"/>
  <c r="I17" i="2"/>
  <c r="H17" i="2"/>
  <c r="AQ16" i="2"/>
  <c r="AP16" i="2"/>
  <c r="AO16" i="2"/>
  <c r="AN16" i="2"/>
  <c r="AM16" i="2"/>
  <c r="AL16" i="2"/>
  <c r="AK16" i="2"/>
  <c r="AJ16" i="2"/>
  <c r="AI16" i="2"/>
  <c r="AH16" i="2"/>
  <c r="AD16" i="2"/>
  <c r="AC16" i="2"/>
  <c r="AB16" i="2"/>
  <c r="AA16" i="2"/>
  <c r="Z16" i="2"/>
  <c r="Y16" i="2"/>
  <c r="X16" i="2"/>
  <c r="W16" i="2"/>
  <c r="V16" i="2"/>
  <c r="U16" i="2"/>
  <c r="Q16" i="2"/>
  <c r="P16" i="2"/>
  <c r="O16" i="2"/>
  <c r="N16" i="2"/>
  <c r="M16" i="2"/>
  <c r="L16" i="2"/>
  <c r="K16" i="2"/>
  <c r="J16" i="2"/>
  <c r="I16" i="2"/>
  <c r="H16" i="2"/>
  <c r="AQ15" i="2"/>
  <c r="AP15" i="2"/>
  <c r="AO15" i="2"/>
  <c r="AN15" i="2"/>
  <c r="AM15" i="2"/>
  <c r="AL15" i="2"/>
  <c r="AK15" i="2"/>
  <c r="AJ15" i="2"/>
  <c r="AI15" i="2"/>
  <c r="AH15" i="2"/>
  <c r="AD15" i="2"/>
  <c r="AC15" i="2"/>
  <c r="AB15" i="2"/>
  <c r="AA15" i="2"/>
  <c r="Z15" i="2"/>
  <c r="Y15" i="2"/>
  <c r="X15" i="2"/>
  <c r="W15" i="2"/>
  <c r="V15" i="2"/>
  <c r="U15" i="2"/>
  <c r="Q15" i="2"/>
  <c r="P15" i="2"/>
  <c r="O15" i="2"/>
  <c r="N15" i="2"/>
  <c r="M15" i="2"/>
  <c r="L15" i="2"/>
  <c r="K15" i="2"/>
  <c r="J15" i="2"/>
  <c r="I15" i="2"/>
  <c r="H15" i="2"/>
  <c r="AQ14" i="2"/>
  <c r="AP14" i="2"/>
  <c r="AO14" i="2"/>
  <c r="AN14" i="2"/>
  <c r="AM14" i="2"/>
  <c r="AL14" i="2"/>
  <c r="AK14" i="2"/>
  <c r="AJ14" i="2"/>
  <c r="AI14" i="2"/>
  <c r="AH14" i="2"/>
  <c r="AD14" i="2"/>
  <c r="AC14" i="2"/>
  <c r="AB14" i="2"/>
  <c r="AA14" i="2"/>
  <c r="Z14" i="2"/>
  <c r="Y14" i="2"/>
  <c r="X14" i="2"/>
  <c r="W14" i="2"/>
  <c r="V14" i="2"/>
  <c r="U14" i="2"/>
  <c r="Q14" i="2"/>
  <c r="P14" i="2"/>
  <c r="O14" i="2"/>
  <c r="N14" i="2"/>
  <c r="M14" i="2"/>
  <c r="L14" i="2"/>
  <c r="K14" i="2"/>
  <c r="J14" i="2"/>
  <c r="I14" i="2"/>
  <c r="H14" i="2"/>
  <c r="AQ13" i="2"/>
  <c r="AP13" i="2"/>
  <c r="AO13" i="2"/>
  <c r="AN13" i="2"/>
  <c r="AM13" i="2"/>
  <c r="AL13" i="2"/>
  <c r="AK13" i="2"/>
  <c r="AJ13" i="2"/>
  <c r="AI13" i="2"/>
  <c r="AH13" i="2"/>
  <c r="AD13" i="2"/>
  <c r="AC13" i="2"/>
  <c r="AB13" i="2"/>
  <c r="AA13" i="2"/>
  <c r="Z13" i="2"/>
  <c r="Y13" i="2"/>
  <c r="X13" i="2"/>
  <c r="W13" i="2"/>
  <c r="V13" i="2"/>
  <c r="U13" i="2"/>
  <c r="Q13" i="2"/>
  <c r="P13" i="2"/>
  <c r="O13" i="2"/>
  <c r="N13" i="2"/>
  <c r="M13" i="2"/>
  <c r="L13" i="2"/>
  <c r="K13" i="2"/>
  <c r="J13" i="2"/>
  <c r="I13" i="2"/>
  <c r="H13" i="2"/>
  <c r="AQ12" i="2"/>
  <c r="AP12" i="2"/>
  <c r="AO12" i="2"/>
  <c r="AN12" i="2"/>
  <c r="AM12" i="2"/>
  <c r="AL12" i="2"/>
  <c r="AK12" i="2"/>
  <c r="AJ12" i="2"/>
  <c r="AI12" i="2"/>
  <c r="AH12" i="2"/>
  <c r="AD12" i="2"/>
  <c r="AC12" i="2"/>
  <c r="AB12" i="2"/>
  <c r="AA12" i="2"/>
  <c r="Z12" i="2"/>
  <c r="Y12" i="2"/>
  <c r="X12" i="2"/>
  <c r="W12" i="2"/>
  <c r="V12" i="2"/>
  <c r="U12" i="2"/>
  <c r="Q12" i="2"/>
  <c r="P12" i="2"/>
  <c r="O12" i="2"/>
  <c r="N12" i="2"/>
  <c r="M12" i="2"/>
  <c r="L12" i="2"/>
  <c r="K12" i="2"/>
  <c r="J12" i="2"/>
  <c r="I12" i="2"/>
  <c r="H12" i="2"/>
  <c r="AQ11" i="2"/>
  <c r="AP11" i="2"/>
  <c r="AO11" i="2"/>
  <c r="AN11" i="2"/>
  <c r="AM11" i="2"/>
  <c r="AL11" i="2"/>
  <c r="AK11" i="2"/>
  <c r="AJ11" i="2"/>
  <c r="AI11" i="2"/>
  <c r="AH11" i="2"/>
  <c r="AD11" i="2"/>
  <c r="AC11" i="2"/>
  <c r="AB11" i="2"/>
  <c r="AA11" i="2"/>
  <c r="Z11" i="2"/>
  <c r="Y11" i="2"/>
  <c r="X11" i="2"/>
  <c r="W11" i="2"/>
  <c r="V11" i="2"/>
  <c r="U11" i="2"/>
  <c r="Q11" i="2"/>
  <c r="P11" i="2"/>
  <c r="O11" i="2"/>
  <c r="N11" i="2"/>
  <c r="M11" i="2"/>
  <c r="L11" i="2"/>
  <c r="K11" i="2"/>
  <c r="J11" i="2"/>
  <c r="I11" i="2"/>
  <c r="H11" i="2"/>
  <c r="AQ10" i="2"/>
  <c r="AP10" i="2"/>
  <c r="AO10" i="2"/>
  <c r="AN10" i="2"/>
  <c r="AM10" i="2"/>
  <c r="AL10" i="2"/>
  <c r="AK10" i="2"/>
  <c r="AJ10" i="2"/>
  <c r="AI10" i="2"/>
  <c r="AH10" i="2"/>
  <c r="AD10" i="2"/>
  <c r="AC10" i="2"/>
  <c r="AB10" i="2"/>
  <c r="AA10" i="2"/>
  <c r="Z10" i="2"/>
  <c r="Y10" i="2"/>
  <c r="X10" i="2"/>
  <c r="W10" i="2"/>
  <c r="V10" i="2"/>
  <c r="U10" i="2"/>
  <c r="Q10" i="2"/>
  <c r="P10" i="2"/>
  <c r="O10" i="2"/>
  <c r="N10" i="2"/>
  <c r="M10" i="2"/>
  <c r="L10" i="2"/>
  <c r="K10" i="2"/>
  <c r="J10" i="2"/>
  <c r="I10" i="2"/>
  <c r="H10" i="2"/>
  <c r="AQ9" i="2"/>
  <c r="AP9" i="2"/>
  <c r="AO9" i="2"/>
  <c r="AN9" i="2"/>
  <c r="AM9" i="2"/>
  <c r="AL9" i="2"/>
  <c r="AK9" i="2"/>
  <c r="AJ9" i="2"/>
  <c r="AI9" i="2"/>
  <c r="AH9" i="2"/>
  <c r="AD9" i="2"/>
  <c r="AC9" i="2"/>
  <c r="AB9" i="2"/>
  <c r="AA9" i="2"/>
  <c r="Z9" i="2"/>
  <c r="Y9" i="2"/>
  <c r="X9" i="2"/>
  <c r="W9" i="2"/>
  <c r="V9" i="2"/>
  <c r="U9" i="2"/>
  <c r="Q9" i="2"/>
  <c r="P9" i="2"/>
  <c r="O9" i="2"/>
  <c r="N9" i="2"/>
  <c r="M9" i="2"/>
  <c r="L9" i="2"/>
  <c r="K9" i="2"/>
  <c r="J9" i="2"/>
  <c r="I9" i="2"/>
  <c r="H9" i="2"/>
  <c r="AQ8" i="2"/>
  <c r="AP8" i="2"/>
  <c r="AO8" i="2"/>
  <c r="AN8" i="2"/>
  <c r="AM8" i="2"/>
  <c r="AL8" i="2"/>
  <c r="AK8" i="2"/>
  <c r="AJ8" i="2"/>
  <c r="AI8" i="2"/>
  <c r="AH8" i="2"/>
  <c r="AD8" i="2"/>
  <c r="AC8" i="2"/>
  <c r="AB8" i="2"/>
  <c r="AA8" i="2"/>
  <c r="Z8" i="2"/>
  <c r="Y8" i="2"/>
  <c r="X8" i="2"/>
  <c r="W8" i="2"/>
  <c r="V8" i="2"/>
  <c r="U8" i="2"/>
  <c r="Q8" i="2"/>
  <c r="P8" i="2"/>
  <c r="O8" i="2"/>
  <c r="N8" i="2"/>
  <c r="M8" i="2"/>
  <c r="L8" i="2"/>
  <c r="K8" i="2"/>
  <c r="J8" i="2"/>
  <c r="I8" i="2"/>
  <c r="H8" i="2"/>
  <c r="AQ7" i="2"/>
  <c r="AP7" i="2"/>
  <c r="AO7" i="2"/>
  <c r="AN7" i="2"/>
  <c r="AM7" i="2"/>
  <c r="AL7" i="2"/>
  <c r="AK7" i="2"/>
  <c r="AJ7" i="2"/>
  <c r="AI7" i="2"/>
  <c r="AH7" i="2"/>
  <c r="AD7" i="2"/>
  <c r="AC7" i="2"/>
  <c r="AB7" i="2"/>
  <c r="AA7" i="2"/>
  <c r="Z7" i="2"/>
  <c r="Y7" i="2"/>
  <c r="X7" i="2"/>
  <c r="W7" i="2"/>
  <c r="V7" i="2"/>
  <c r="U7" i="2"/>
  <c r="Q7" i="2"/>
  <c r="P7" i="2"/>
  <c r="O7" i="2"/>
  <c r="N7" i="2"/>
  <c r="M7" i="2"/>
  <c r="L7" i="2"/>
  <c r="K7" i="2"/>
  <c r="J7" i="2"/>
  <c r="I7" i="2"/>
  <c r="H7" i="2"/>
  <c r="AQ6" i="2"/>
  <c r="AP6" i="2"/>
  <c r="AO6" i="2"/>
  <c r="AN6" i="2"/>
  <c r="AM6" i="2"/>
  <c r="AL6" i="2"/>
  <c r="AK6" i="2"/>
  <c r="AJ6" i="2"/>
  <c r="AI6" i="2"/>
  <c r="AH6" i="2"/>
  <c r="AD6" i="2"/>
  <c r="AC6" i="2"/>
  <c r="AB6" i="2"/>
  <c r="AA6" i="2"/>
  <c r="Z6" i="2"/>
  <c r="Y6" i="2"/>
  <c r="X6" i="2"/>
  <c r="W6" i="2"/>
  <c r="V6" i="2"/>
  <c r="U6" i="2"/>
  <c r="Q6" i="2"/>
  <c r="P6" i="2"/>
  <c r="O6" i="2"/>
  <c r="N6" i="2"/>
  <c r="M6" i="2"/>
  <c r="L6" i="2"/>
  <c r="K6" i="2"/>
  <c r="J6" i="2"/>
  <c r="I6" i="2"/>
  <c r="H6" i="2"/>
  <c r="AQ5" i="2"/>
  <c r="AP5" i="2"/>
  <c r="AO5" i="2"/>
  <c r="AN5" i="2"/>
  <c r="AM5" i="2"/>
  <c r="AL5" i="2"/>
  <c r="AK5" i="2"/>
  <c r="AJ5" i="2"/>
  <c r="AI5" i="2"/>
  <c r="AH5" i="2"/>
  <c r="AD5" i="2"/>
  <c r="AC5" i="2"/>
  <c r="AB5" i="2"/>
  <c r="AA5" i="2"/>
  <c r="Z5" i="2"/>
  <c r="Y5" i="2"/>
  <c r="X5" i="2"/>
  <c r="W5" i="2"/>
  <c r="V5" i="2"/>
  <c r="U5" i="2"/>
  <c r="Q5" i="2"/>
  <c r="P5" i="2"/>
  <c r="O5" i="2"/>
  <c r="N5" i="2"/>
  <c r="M5" i="2"/>
  <c r="L5" i="2"/>
  <c r="K5" i="2"/>
  <c r="J5" i="2"/>
  <c r="I5" i="2"/>
  <c r="H5" i="2"/>
  <c r="AQ4" i="2"/>
  <c r="AP4" i="2"/>
  <c r="AO4" i="2"/>
  <c r="AN4" i="2"/>
  <c r="AM4" i="2"/>
  <c r="AL4" i="2"/>
  <c r="AK4" i="2"/>
  <c r="AJ4" i="2"/>
  <c r="AI4" i="2"/>
  <c r="AH4" i="2"/>
  <c r="AD4" i="2"/>
  <c r="AC4" i="2"/>
  <c r="AB4" i="2"/>
  <c r="AA4" i="2"/>
  <c r="Z4" i="2"/>
  <c r="Y4" i="2"/>
  <c r="X4" i="2"/>
  <c r="W4" i="2"/>
  <c r="V4" i="2"/>
  <c r="U4" i="2"/>
  <c r="Q4" i="2"/>
  <c r="P4" i="2"/>
  <c r="O4" i="2"/>
  <c r="N4" i="2"/>
  <c r="M4" i="2"/>
  <c r="L4" i="2"/>
  <c r="K4" i="2"/>
  <c r="J4" i="2"/>
  <c r="I4" i="2"/>
  <c r="H4" i="2"/>
  <c r="AQ3" i="2"/>
  <c r="AP3" i="2"/>
  <c r="AO3" i="2"/>
  <c r="AN3" i="2"/>
  <c r="AM3" i="2"/>
  <c r="AL3" i="2"/>
  <c r="AK3" i="2"/>
  <c r="AJ3" i="2"/>
  <c r="AI3" i="2"/>
  <c r="AH3" i="2"/>
  <c r="AD3" i="2"/>
  <c r="AC3" i="2"/>
  <c r="AB3" i="2"/>
  <c r="AA3" i="2"/>
  <c r="Z3" i="2"/>
  <c r="Y3" i="2"/>
  <c r="X3" i="2"/>
  <c r="W3" i="2"/>
  <c r="V3" i="2"/>
  <c r="U3" i="2"/>
  <c r="Q3" i="2"/>
  <c r="P3" i="2"/>
  <c r="O3" i="2"/>
  <c r="N3" i="2"/>
  <c r="M3" i="2"/>
  <c r="L3" i="2"/>
  <c r="K3" i="2"/>
  <c r="J3" i="2"/>
  <c r="I3" i="2"/>
  <c r="H3" i="2"/>
  <c r="AQ2" i="2"/>
  <c r="AP2" i="2"/>
  <c r="AO2" i="2"/>
  <c r="AN2" i="2"/>
  <c r="AM2" i="2"/>
  <c r="AL2" i="2"/>
  <c r="AK2" i="2"/>
  <c r="AJ2" i="2"/>
  <c r="AI2" i="2"/>
  <c r="AH2" i="2"/>
  <c r="AD2" i="2"/>
  <c r="AC2" i="2"/>
  <c r="AB2" i="2"/>
  <c r="AA2" i="2"/>
  <c r="Z2" i="2"/>
  <c r="Y2" i="2"/>
  <c r="X2" i="2"/>
  <c r="W2" i="2"/>
  <c r="V2" i="2"/>
  <c r="U2" i="2"/>
  <c r="Q2" i="2"/>
  <c r="P2" i="2"/>
  <c r="O2" i="2"/>
  <c r="N2" i="2"/>
  <c r="M2" i="2"/>
  <c r="L2" i="2"/>
  <c r="K2" i="2"/>
  <c r="J2" i="2"/>
  <c r="I2" i="2"/>
  <c r="C3" i="3" s="1"/>
  <c r="H2" i="2"/>
  <c r="D3" i="3" s="1"/>
  <c r="G8" i="3" l="1"/>
  <c r="D7" i="3"/>
  <c r="G3" i="3"/>
  <c r="E5" i="3"/>
  <c r="D6" i="3"/>
  <c r="E6" i="3"/>
  <c r="D4" i="3"/>
  <c r="C4" i="3"/>
  <c r="E7" i="3"/>
  <c r="E4" i="3"/>
  <c r="G7" i="3"/>
  <c r="E8" i="3"/>
  <c r="G4" i="3"/>
  <c r="F5" i="3"/>
  <c r="C7" i="3"/>
  <c r="F4" i="3"/>
  <c r="F3" i="3"/>
  <c r="D8" i="3"/>
  <c r="G5" i="3"/>
  <c r="F6" i="3"/>
  <c r="E3" i="3"/>
  <c r="D5" i="3"/>
  <c r="G6" i="3"/>
  <c r="F8" i="3"/>
  <c r="C6" i="3"/>
  <c r="F7" i="3"/>
  <c r="C8" i="3"/>
  <c r="C5" i="3"/>
</calcChain>
</file>

<file path=xl/sharedStrings.xml><?xml version="1.0" encoding="utf-8"?>
<sst xmlns="http://schemas.openxmlformats.org/spreadsheetml/2006/main" count="785" uniqueCount="331">
  <si>
    <t>ID</t>
  </si>
  <si>
    <t>Case_ID</t>
  </si>
  <si>
    <t>PT</t>
  </si>
  <si>
    <t>Drug_Name</t>
  </si>
  <si>
    <t>Q2_Score_NonRAG</t>
  </si>
  <si>
    <t>Q2_Score_RAG</t>
  </si>
  <si>
    <t>Q2_Score_Human</t>
  </si>
  <si>
    <t>Q2_Diff_NonRAG</t>
  </si>
  <si>
    <t>Q2_Agree_NonRAG</t>
  </si>
  <si>
    <t>Q2_Over_NonRAG</t>
  </si>
  <si>
    <t>Q2_Under_NonRAG</t>
  </si>
  <si>
    <t>Q2_Degree_NonRAG</t>
  </si>
  <si>
    <t>Q2_Diff_RAG</t>
  </si>
  <si>
    <t>Q2_Agree_RAG</t>
  </si>
  <si>
    <t>Q2_Over_RAG</t>
  </si>
  <si>
    <t>Q2_Under_RAG</t>
  </si>
  <si>
    <t>Q2_Degree_RAG</t>
  </si>
  <si>
    <t>Q5_Score_NonRAG</t>
  </si>
  <si>
    <t>Q5_Score_RAG</t>
  </si>
  <si>
    <t>Q5_Score_Human</t>
  </si>
  <si>
    <t>Q5_Diff_NonRAG</t>
  </si>
  <si>
    <t>Q5_Agree_NonRAG</t>
  </si>
  <si>
    <t>Q5_Over_NonRAG</t>
  </si>
  <si>
    <t>Q5_Under_NonRAG</t>
  </si>
  <si>
    <t>Q5_Degree_NonRAG</t>
  </si>
  <si>
    <t>Q5_Diff_RAG</t>
  </si>
  <si>
    <t>Q5_Agree_RAG</t>
  </si>
  <si>
    <t>Q5_Over_RAG</t>
  </si>
  <si>
    <t>Q5_Under_RAG</t>
  </si>
  <si>
    <t>Q5_Degree_RAG</t>
  </si>
  <si>
    <t>Q10_Score_NonRAG</t>
  </si>
  <si>
    <t>Q10_Score_RAG</t>
  </si>
  <si>
    <t>Q10_Score_Human</t>
  </si>
  <si>
    <t>Q10_Diff_NonRAG</t>
  </si>
  <si>
    <t>Q10_Agree_NonRAG</t>
  </si>
  <si>
    <t>Q10_Over_NonRAG</t>
  </si>
  <si>
    <t>Q10_Under_NonRAG</t>
  </si>
  <si>
    <t>Q10_Degree_NonRAG</t>
  </si>
  <si>
    <t>Q10_Diff_RAG</t>
  </si>
  <si>
    <t>Q10_Agree_RAG</t>
  </si>
  <si>
    <t>Q10_Over_RAG</t>
  </si>
  <si>
    <t>Q10_Under_RAG</t>
  </si>
  <si>
    <t>Q10_Degree_RAG</t>
  </si>
  <si>
    <t>Q2_Reasoning_NonRAG</t>
  </si>
  <si>
    <t>Q2_Reasoning_RAG</t>
  </si>
  <si>
    <t>Q2_Reasoning_Human</t>
  </si>
  <si>
    <t>Q5_Reasoning_NonRAG</t>
  </si>
  <si>
    <t>Q5_Reasoning_RAG</t>
  </si>
  <si>
    <t>Q5_Reasoning_Human</t>
  </si>
  <si>
    <t>Q10_Reasoning_NonRAG</t>
  </si>
  <si>
    <t>Q10_Reasoning_RAG</t>
  </si>
  <si>
    <t>Q10_Reasoning_Human</t>
  </si>
  <si>
    <t>Case_Narrative</t>
  </si>
  <si>
    <t>Intentional product use issue</t>
  </si>
  <si>
    <t>DIAZEPAM</t>
  </si>
  <si>
    <t>the case does not provide any infomation on therapy start and end date or on the event date, thus temporal and biological plausability can not be established.</t>
  </si>
  <si>
    <t xml:space="preserve">## Pair Assessment: DIAZEPAM vs Intentional product use issue
**CrewAI Final Output:**
```
**Comprehensive Causality Assessment for Intentional product use issue Associated with DIAZEPAM**
**FINAL PLAUSIBILITY RATING:** HIGH
**Detailed Causality Analysis:**
**1. Temporal Plausibility**
The temporal relationship between DIAZEPAM administration and the onset of the 'Intentional product use issue' is difficult to assess due to missing data. The patient's therapy with DIAZEPAM began on 22-May-2018, but the date of the event is reported as MISSING. For causality to be established, the event must have occurred on or after the start date. Events like misuse or dependence often develop over a period of exposure rather than as a single acute event. While a definitive temporal link cannot be confirmed from the available data, the exposure to DIAZEPAM precedes or coincides with the event, which is a necessary condition for causality. The lack of a specific event date is a significant limitation but does not rule out a plausible temporal connection.
**2. Biological Plausibility**
The biological plausibility for DIAZEPAM causing or contributing to an 'Intentional product use issue' is extremely high. As detailed in the provided literature summary, DIAZEPAM is a benzodiazepine that enhances the effect of the inhibitory neurotransmitter GABA at the GABA-A receptor, leading to widespread CNS depression. This mechanism produces the drug's therapeutic anxiolytic and sedative effects, but also underlies its significant potential for misuse, abuse, and dependence. The literature confirms that DIAZEPAM is frequently misused for its euphoric and relaxing effects, to self-medicate anxiety, or in patterns of polysubstance abuse. The development of tolerance and physiological dependence is a well-documented consequence of regular use, which can drive behaviors consistent with an 'Intentional product use issue' (e.g., taking more than prescribed). Therefore, the reported event is entirely consistent with the known pharmacological and clinical profile of DIAZEPAM.
**3. Dechallenge/Rechallenge**
The dechallenge result for DIAZEPAM is reported as 'U' (Unknown), and the rechallenge result is MISSING. Consequently, no information is available from dechallenge or rechallenge to either support or refute a causal relationship between DIAZEPAM and the 'Intentional product use issue'. This represents a critical gap in the case information.
**4. Objective Evidence**
The primary evidence is the report of the event itself. A highly significant piece of supporting information is the patient's reported "History of Similar Reactions: Y". This indicates a pre-existing vulnerability or pattern of behavior that makes the occurrence of an 'Intentional product use issue' with a high-risk medication like DIAZEPAM more likely. This history corroborates the plausibility of the reported event. No other objective evidence, such as clinical notes, laboratory results, or diagnostic findings, was provided.
**5. Confounding Factors**
Several confounding factors are present. The patient has a diagnosis of Immune Thrombocytopenia and was treated with RITUXAN and PREDNISONE. The underlying medical condition and its treatment can cause significant psychological distress. PREDNISONE, a corticosteroid, is well-known for causing neuropsychiatric side effects, including anxiety, mood swings, and agitation, which could influence patient behavior. The listed indication for PREDNISONE is 'Anxiety', which is unusual and may suggest a complex pre-existing psychiatric history or a data entry error. This underlying anxiety could be a primary driver for the patient to misuse an anxiolytic medication like DIAZEPAM. Therefore, the patient's underlying medical and psychiatric state, as well as the effects of concurrent PREDNISONE, are significant confounders.
**6. Synthesis and Final Assessment**
This case involves a 68-year-old female with a "History of Similar Reactions" who experienced an 'Intentional product use issue' while on DIAZEPAM. The primary strength of this case is the exceptionally high biological plausibility; DIAZEPAM's mechanism of action and extensive clinical history directly support its potential for misuse, abuse, and dependence. This is further strengthened by the patient's specific history of similar events, suggesting a predisposition to this type of adverse event.
However, the case is weakened by significant missing information, including the event date, dose, indication for DIAZEPAM, and the outcome of dechallenge. Confounding factors, notably the patient's underlying anxiety and concurrent use of PREDNISONE, are present and could have contributed to the event.
Despite these limitations, the nature of the event ('Intentional product use issue') aligns perfectly with the well-established and prominent risk profile of DIAZEPAM. The drug's inherent properties are a more direct and powerful explanation for this specific event than the confounding factors. Therefore, a causal relationship is considered highly probable.
**Final Plausibility Rating: HIGH**
```
</t>
  </si>
  <si>
    <t xml:space="preserve">These are not pharmacological adverse reactions but usage/process issues. </t>
  </si>
  <si>
    <t>Intentional product use issue: Symptom - Intentional product use issue refers to a patient's deliberate misuse or incorrect use of a product, which is a subjective behavior or action reported by the patient or caregiver, not an objective, measurable clinical finding.</t>
  </si>
  <si>
    <t>Intentional product use issue: Sign - Intentional product use issue is an observable behavior or event, not a subjective patient-reported experience.</t>
  </si>
  <si>
    <t>since the intentional use is a clinical sign (as opposed to a symptom), it is assumed that the appropriate medical tests have been performed by a healthcare professional, prior to diagnosing.</t>
  </si>
  <si>
    <t xml:space="preserve">Case ID: 153433253 
 Case Version: 3 
 FDA Code: F 
 Event Date: NA 
 Manufacture Date: 20180827 
 Initial FDA Date: 20180903 
 FDA Date: 20250430 
 Report Code: EXP 
 Authorization Number: NA 
 Manufacturer Number: US-ROCHE-2176536 
 Manufacturer Sender: ROCHE 
 Literature Reference: NA 
 Age: 68 
 Age Code: YR 
 Age Group: E 
 Sex: F 
 E Sub: Y 
 Weight: 71.73 
 Weight Code: KG 
 Report Date: 20250430 
 To Manufacturer: NA 
 Occupation Code: HP 
 Reporter Country: US 
 Occurrence Country: US 
 Adverse Reaction(s): Aortic arteriosclerosis ; Dizziness ; Acute kidney injury ; Intentional product use issue ; Sepsis ; Nausea ; Hallucination ; Hypovolaemia ; Immunosuppression ; Atelectasis ; Serum sickness ; Spinal osteoarthritis ; Renal cyst ; Pyrexia ; Lactic acidosis ; Asthenia ; Off label use ; Pleural effusion ; Dehydration 
 Case ID Number: 15343325 
 Drug Sequence: 6 ; 3 ; 4 ; 10 ; 7 ; 1 ; 9 ; 5 ; 2 ; 8 
 Role Code: C ; C ; C ; C ; C ; PS ; C ; C ; SS ; C 
 Drug Name: THYROID ; NEXIUM ; PREDNISONE ; DELTASONE ; BENADRYL ; RITUXAN ; ZOFRAN ; PREDNISONE ; DIAZEPAM ; REGLAN 
 Product AI: THYROID ; NEXIUM ; PREDNISONE ; DELTASONE ; BENADRYL ; RITUXAN ; ZOFRAN ; PREDNISONE ; DIAZEPAM ; REGLAN 
 Val VBM: 1 ; 1 ; 1 ; 1 ; 1 ; 1 ; 1 ; 1 ; 1 ; 1 
 Route: Oral ; NA ; Oral ; NA ; NA ; Intravenous (not otherwise specified) ; NA ; Oral ; Unknown ; NA 
 Dose VBM: daily ; daily ; 2.5 m/d daily ; 1mg daily or more 90 mg daily ; NA ; NA ; prn ; NA ; NA ; prn 
 Cumulative Dose (Char): NA ; NA ; NA ; NA ; NA ; NA ; NA ; NA ; NA ; NA 
 Cumulative Dose (Unit): NA ; NA ; NA ; NA ; NA ; NA ; NA ; NA ; NA ; NA 
 Dechal: NA ; NA ; NA ; NA ; NA ; U ; NA ; NA ; U ; NA 
 Rechal: NA ; NA ; NA ; NA ; NA ; NA ; NA ; NA ; NA ; NA 
 Lot Number: NA ; NA ; NA ; NA ; NA ; Unknown ; NA ; NA ; Unknown ; NA 
 Expiration Date: NA ; NA ; NA ; NA ; NA ; NA ; NA ; NA ; NA ; NA 
 NDA Number: NA ; NA ; NA ; NA ; NA ; 103705 ; NA ; NA ; NA ; NA 
 Dose Amount: 90 ; 20 ; NA ; NA ; NA ; 690 ; NA ; 1 ; 2 ; 10 
 Dose Unit: MG ; MG ; NA ; NA ; NA ; MG ; NA ; MG ; MG ; MG 
 Dose Form: NA ; NA ; Tablet ; NA ; NA ; Solution for infusion ; NA ; 10 mg tablet ; NA ; NA 
 Dose Frequency: QD ; QD ; QD ; NA ; NA ; /WK ; NA ; QOD ; NA ; Q6H 
 Indication for Use: Immune thrombocytopenia ; Immune thrombocytopenia ; Anxiety ; Anxiety ; Gastrooesophageal reflux disease ; Immune thrombocytopenia ; Immune thrombocytopenia ;  ;  ;  ;  ;  ;  
 Therapy Start Date: NA ; NA ; NA ; NA ; NA ; 20180501 ; NA ; NA ; 20180522 ; NA 
 Therapy End Date: NA ; NA ; 20180522 ; NA ; NA ; 20180508 ; NA ; NA ; NA ; NA 
 Duration: NA ; NA ; NA ; NA ; NA ; 8 ; NA ; NA ; NA ; NA 
 Duration Code: NA ; NA ; NA ; NA ; NA ; DAY ; NA ; NA ; NA ; NA </t>
  </si>
  <si>
    <t>REGLAN</t>
  </si>
  <si>
    <t>## Pair Assessment: REGLAN vs Intentional product use issue
**CrewAI Final Output:**
```
**Comprehensive Causality Assessment for Intentional product use issue Associated with REGLAN**
**FINAL PLAUSIBILITY RATING:** LOW
**Detailed Causality Analysis:**
1.  **Temporal Plausibility**
    The assessment of a temporal relationship is impossible due to a complete lack of date information. The 'Event Date', 'Therapy Start' date, and 'Therapy End' date for REGLAN are all reported as 'MISSING'. Without these critical data points, it cannot be determined if the administration of REGLAN preceded the onset of the 'Intentional product use issue'. Therefore, temporal plausibility is **unassessable**.
2.  **Biological Plausibility**
    The adverse event term 'Intentional product use issue' is non-specific but can be interpreted as an overdose or misuse scenario. The provided literature summary, based on established medical knowledge, confirms that REGLAN (metoclopramide) is a dopamine D2 receptor antagonist with significant central nervous system (CNS) effects. Overdose is known to cause CNS disturbances such as drowsiness, confusion, agitation, anxiety, and extrapyramidal symptoms (EPS), including akathisia. A state of drug-induced agitation or confusion could potentially lead to behavior classified as an 'intentional product use issue'. Thus, a biological mechanism for REGLAN to cause or contribute to such an event exists. The literature search for the specific event term yielded no results (PMIDs: Not Applicable). Biological plausibility is considered **plausible**.
3.  **Dechallenge/Rechallenge**
    The effect of drug withdrawal (dechallenge) or re-administration (rechallenge) provides strong evidence for causality. In this case, the 'Dechallenge Result' for REGLAN is 'MISSING', and the 'Rechallenge Result' is 'MISSING'. Consequently, no conclusion can be drawn from this criterion. This aspect of the assessment is **unassessable**.
4.  **Objective Evidence**
    There is no objective evidence provided in the case file (e.g., clinical observations, lab values, diagnostic reports) to substantiate the event. The patient (a 68-year-old female) has a reported 'History of Similar Reactions: Y', which could support a causal link; however, no details about the previous reaction(s) or associated drug(s) are provided, limiting the value of this information. The literature search for the specific event term was negative.
5.  **Confounding Factors**
    Several significant confounding factors are present that could provide an alternative explanation for the event:
    *   **Patient's Medical History:** The patient has a documented indication of 'Anxiety', which is a significant psychiatric comorbidity that could independently contribute to the reported event.
    *   **Concurrent Medications:** The patient was taking PREDNISONE and DELTASONE for 'Anxiety'. Corticosteroids are well-documented to cause a wide range of psychiatric side effects, including agitation, mood disturbances, confusion, and psychosis, which could directly cause or contribute to an 'intentional product use issue'.
    *   **Underlying Disease:** The patient's diagnosis of 'Immune thrombocytopenia' can be a source of significant psychological distress.
    *   **Other Medications:** The patient was also started on DIAZEPAM, a benzodiazepine, which could have been used to treat the event (e.g., akathisia or agitation) or for the underlying anxiety, further complicating the clinical picture.
6.  **Synthesis and Final Assessment**
    This case is severely limited by a lack of critical information, most notably the absence of any dates to establish a temporal sequence and the lack of dechallenge/rechallenge results. While there is a plausible biological mechanism by which a REGLAN overdose could lead to CNS effects manifesting as an 'intentional product use issue', this is purely theoretical in the context of this case. The presence of strong confounding factors, particularly the patient's pre-existing anxiety and concurrent use of corticosteroids (PREDNISONE/DELTASONE), provides a compelling alternative explanation for the event. Given the unassessable temporality and the strong likelihood of alternative causality, a direct causal relationship between REGLAN and the 'Intentional product use issue' is weakly supported. Therefore, the final causality rating is **LOW**.
```</t>
  </si>
  <si>
    <t xml:space="preserve">Intentional product use issue: Sign - Intentional product use issue is an observable behavior or event, not a subjective patient-reported experience. </t>
  </si>
  <si>
    <t>Visual impairment</t>
  </si>
  <si>
    <t>XELJANZ</t>
  </si>
  <si>
    <t>## Pair Assessment: XELJANZ vs Visual impairment
**CrewAI Final Output:**
```
**Comprehensive Causality Assessment for Visual impairment Associated with XELJANZ**
**FINAL PLAUSIBILITY RATING:** LOW
**Detailed Causality Analysis:**
1.  **Temporal Plausibility**
    The temporal relationship between the administration of XELJANZ and the onset of 'Visual impairment' cannot be assessed. Key data points, including the 'Therapy Start' date and the 'Event Date', are marked as 'MISSING' in the case metadata. Without this information, it is impossible to establish a reasonable time-to-onset or determine if the event occurred after the drug was initiated. This represents a significant weakness in the case for causality.
2.  **Biological Plausibility**
    Based on the provided context, there is no information to support the biological plausibility of XELJANZ causing visual impairment. The literature summary, referencing a single article (PMID: 39976227), explicitly states that the article is a review of TNF inhibitors and contains "no clinical evidence, efficacy data, or safety data" regarding XELJANZ. Furthermore, the article does not mention "visual impairment" or related ocular events. Therefore, no known mechanism or clinical evidence from the provided materials links the drug to the event.
3.  **Dechallenge/Rechallenge**
    The evidence from dechallenge and rechallenge does not support a causal association. The 'Dechallenge Result' is 'U' (Unknown), indicating that it is not known whether the patient's visual impairment improved or resolved after the drug was potentially stopped. The 'Rechallenge Result' is 'MISSING', meaning the patient was not re-exposed to the drug, or if they were, the outcome was not reported. This lack of positive dechallenge or rechallenge data fails to strengthen the case for causality.
4.  **Objective Evidence**
    There is no objective evidence provided to support the diagnosis or the causal link. The report consists of the event term 'Visual impairment' without any accompanying clinical details, diagnostic test results (e.g., ophthalmologic exam findings, visual acuity measurements), or medical confirmation. The information is limited to a subjective report.
5.  **Confounding Factors**
    Several significant confounding factors exist that provide strong alternative explanations for the event:
    *   **Patient Age:** The patient is 70 years old, an age at which the incidence of various conditions causing visual impairment (e.g., cataracts, age-related macular degeneration, glaucoma) is high.
    *   **Underlying Indication:** The patient was taking XELJANZ for 'Arthritis'. Certain types of inflammatory arthritis can have extra-articular manifestations, including ocular inflammation (e.g., uveitis, scleritis) that can lead to visual impairment.
    *   **History of Similar Reactions:** The case metadata explicitly states 'History of Similar Reactions: Y'. This is a critical factor suggesting the patient has experienced similar episodes previously, which points towards a pre-existing or recurrent condition independent of XELJANZ therapy.
    *   **Concurrent Medications:** While no concurrent medications were listed, the underlying disease and patient demographics are strong confounders.
6.  **Synthesis and Final Assessment**
    The overall assessment indicates that a causal relationship between XELJANZ and 'Visual impairment' is unlikely. There is a complete lack of evidence supporting causality: the temporal relationship is unknown, no biological plausibility is provided in the supplied literature (PMID: 39976227), and the dechallenge/rechallenge results are uninformative. Conversely, there are compelling alternative explanations, including the patient's advanced age (70), the underlying 'Arthritis', and most significantly, a documented history of similar reactions. These factors strongly suggest an alternative etiology for the reported event. Therefore, the causality is rated as **LOW**.
```</t>
  </si>
  <si>
    <t>Cataract, keratoconus, and other reported eye disorders represent plausible alternative explanations for visual impairment.</t>
  </si>
  <si>
    <t>Visual impairment: Symptom - Visual impairment is a subjective experience reported by the patient regarding reduced vision quality, not directly observable or measurable without patient reporting.</t>
  </si>
  <si>
    <t xml:space="preserve">Visual impairment: Sign - Visual impairment can be objectively measured through visual acuity tests or other assessments, making it a sign. </t>
  </si>
  <si>
    <t>Case ID: 180595396 
 Case Version: 6 
 FDA Code: F 
 Event Date: NA 
 Manufacture Date: 20250417 
 Initial FDA Date: 20200723 
 FDA Date: 20250424 
 Report Code: EXP 
 Authorization Number: NA 
 Manufacturer Number: US-PFIZER INC-2020280505 
 Manufacturer Sender: PFIZER 
 Literature Reference: NA 
 Age: 70 
 Age Code: YR 
 Age Group: NA 
 Sex: F 
 E Sub: Y 
 Weight: 69.85 
 Weight Code: KG 
 Report Date: 20250424 
 To Manufacturer: NA 
 Occupation Code: CN 
 Reporter Country: US 
 Occurrence Country: US 
 Adverse Reaction(s): Visual impairment ; Cataract ; Drug dispensed to wrong patient ; Eye disorder ; Keratoconus 
 Case ID Number: 18059539 
 Drug Sequence: 2 ; 1 
 Role Code: SS ; PS 
 Drug Name: XELJANZ ; XELJANZ 
 Product AI: XELJANZ ; XELJANZ 
 Val VBM: 1 ; 1 
 Route: NA ; Oral 
 Dose VBM: NA ; morning/evening 
 Cumulative Dose (Char): NA ; NA 
 Cumulative Dose (Unit): NA ; NA 
 Dechal: U ; U 
 Rechal: NA ; NA 
 Lot Number: NA ; NA 
 Expiration Date: NA ; NA 
 NDA Number: 203214 ; 203214 
 Dose Amount: NA ; 5 
 Dose Unit: NA ; MG 
 Dose Form: Tablet ; Tablet 
 Dose Frequency: NA ; BID 
 Indication for Use: Rheumatoid arthritis ; Arthritis 
 Therapy Start Date: NA ; NA 
 Therapy End Date: NA ; NA 
 Duration: NA ; NA 
 Duration Code: NA ; NA 
"</t>
  </si>
  <si>
    <t>General physical health deterioration</t>
  </si>
  <si>
    <t>AVASTIN</t>
  </si>
  <si>
    <t>## Pair Assessment: AVASTIN vs General physical health deterioration
**CrewAI Final Output:**
```
**Comprehensive Causality Assessment for General physical health deterioration Associated with AVASTIN**
**FINAL PLAUSIBILITY RATING:** LOW
**Detailed Causality Analysis:**
1.  **Temporal Plausibility**
    The temporal relationship between the initiation of AVASTIN and the onset of the event is weak. The patient began therapy on 20160812 and the event of 'General physical health deterioration' was reported on 20210222, representing a latency period of approximately 4.5 years. While some adverse events can manifest after long-term treatment, this extended duration makes a direct, acute drug-induced event less likely. It is more suggestive of a gradual process, such as the progression of the underlying disease.
2.  **Biological Plausibility**
    The provided context does not contain information on the mechanism of action (MOA) of AVASTIN (bevacizumab). 'General physical health deterioration' is a non-specific clinical sign that can result from numerous factors, most notably the progression of the patient's underlying rectal cancer. Without a described mechanism linking AVASTIN to such a non-specific, late-onset event, biological plausibility cannot be established from the available information. The event is more plausibly explained by cancer-related cachexia or disease progression.
3.  **Dechallenge/Rechallenge**
    *   **Dechallenge Result:** MISSING. It is unknown if AVASTIN was discontinued or the dose was reduced, and what effect this had on the patient's condition.
    *   **Rechallenge Result:** MISSING. It is unknown if the patient was re-exposed to AVASTIN.
    The absence of dechallenge and rechallenge information is a significant limitation in this assessment, as it prevents observation of the event's response to drug withdrawal or reintroduction.
4.  **Objective Evidence**
    The provided literature summary (PMID: 34295666) offers limited support. The study, a retrospective analysis of the FAERS database, found that AVASTIN in *combination* with a PD-(L)1 inhibitor was associated with a "significantly higher risk" of 'General physical health deterioration' compared to PD-(L)1 inhibitor monotherapy. However, this evidence is weakened by several factors:
    *   The current case involves AVASTIN as a single agent, whereas the study assessed it in combination therapy.
    *   The study population had non-small cell lung cancer (NSCLC), not rectal cancer.
    *   The multivariate analysis within the study did not identify the combination therapy as an independent risk factor for 'General physical health deterioration', reducing the strength of the association.
    Therefore, the literature provides only a weak, indirect signal that does not directly apply to this case of monotherapy.
5.  **Confounding Factors**
    There are significant confounding factors present:
    *   **Underlying Disease:** The patient's indication for AVASTIN is rectal cancer. General physical health deterioration is a well-established and common manifestation of advanced or progressive malignancy. This represents a strong and highly plausible alternative cause for the reported event.
    *   **History of Similar Reactions:** The case notes a "History of Similar Reactions: Y". Without details, this information is ambiguous. It could suggest a recurring drug sensitivity, but it is equally, if not more, likely to represent prior episodes of deterioration related to the underlying cancer.
    *   **Concurrent Medications:** While listed as N/A, eliminating other drugs as confounders, the underlying disease itself is the most critical confounding factor.
6.  **Synthesis and Final Assessment**
    The overall causality assessment is **LOW**. This conclusion is based on a weak temporal relationship given the 4.5-year latency, the absence of a described biological mechanism, and the complete lack of dechallenge/rechallenge data. The supporting literature (PMID: 34295666) is indirect and of limited applicability, as it pertains to combination therapy in a different patient population. Most importantly, a highly plausible and strong alternative explanation exists: the progression of the patient's underlying rectal cancer. The reported event is a characteristic feature of the natural history of this disease, especially after several years. The available evidence is insufficient to suggest that AVASTIN is a more likely cause than the disease itself.
```</t>
  </si>
  <si>
    <t>Underlying rectal cancer with metastatic disease and surgeries represents a plausible alternative explanation for health deterioration.</t>
  </si>
  <si>
    <t>General physical health deterioration: Symptom - This term describes a subjective decline in overall health status that is typically reported by the patient rather than objectively measured or observed by a clinician.</t>
  </si>
  <si>
    <t xml:space="preserve">General physical health deterioration: Sign - General physical health deterioration is an objective assessment of decline in health status, often based on observable clinical findings such as weight loss, decreased mobility, or lab abnormalities. </t>
  </si>
  <si>
    <t>Case ID: 194885198 
 Case Version: 8 
 FDA Code: F 
 Event Date: 20210222 
 Manufacture Date: 20250227 
 Initial FDA Date: 20210702 
 FDA Date: 20250310 
 Report Code: EXP 
 Authorization Number: NA 
 Manufacturer Number: CN-ROCHE-2856623 
 Manufacturer Sender: ROCHE 
 Literature Reference: NA 
 Age: 52 
 Age Code: YR 
 Age Group: A 
 Sex: F 
 E Sub: Y 
 Weight: 54 
 Weight Code: KG 
 Report Date: 20250310 
 To Manufacturer: NA 
 Occupation Code: CN 
 Reporter Country: CN 
 Occurrence Country: CN 
 Adverse Reaction(s): Pulmonary mass ; Lung neoplasm ; Lung operation ; Surgery ; Metastases to lung ; General physical health deterioration ; Hepatectomy 
 Case ID Number: 19488519 
 Drug Sequence: 1 ; 2 
 Role Code: PS ; SS 
 Drug Name: AVASTIN ; AVASTIN 
 Product AI: AVASTIN ; AVASTIN 
 Val VBM: 1 ; 1 
 Route: Intravenous (not otherwise specified) ; Intravenous (not otherwise specified) 
 Dose VBM: NA ; NA 
 Cumulative Dose (Char): NA ; NA 
 Cumulative Dose (Unit): NA ; NA 
 Dechal: NA ; NA 
 Rechal: NA ; NA 
 Lot Number: Asked But Unknown ; Asked But Unknown 
 Expiration Date: NA ; NA 
 NDA Number: 125085 ; 125085 
 Dose Amount: 300 ; 400 
 Dose Unit: MG ; MG 
 Dose Form: Solution for infusion ; Solution for infusion 
 Dose Frequency: QOW ; Q3W 
 Indication for Use: Rectal cancer ; Rectal cancer ;  ;  
 Therapy Start Date: 20160812 ; 20170411 
 Therapy End Date: NA ; NA 
 Duration: NA ; NA 
 Duration Code: NA ; NA</t>
  </si>
  <si>
    <t>SPINRAZA</t>
  </si>
  <si>
    <t>## Pair Assessment: SPINRAZA vs General physical health deterioration
**CrewAI Final Output:**
```
**Comprehensive Causality Assessment for General physical health deterioration Associated with SPINRAZA**
**FINAL PLAUSIBILITY RATING:** LOW
**Detailed Causality Analysis:**
**1. Temporal Plausibility**
The patient initiated SPINRAZA therapy on 2020-01-22 and the event, 'General physical health deterioration', was reported to have an onset date of 2021-01-01. The event occurred approximately 11 months after the initiation of therapy, while the patient was actively receiving the drug. Therapy continued for another 8 months after the event onset before being discontinued on 2021-08-30. While the event occurred during treatment, establishing a clear temporal relationship, the long latency period and the nature of the event in the context of the underlying disease weaken this association.
**2. Biological Plausibility**
The biological plausibility of SPINRAZA causing 'General physical health deterioration' is extremely low. The provided literature summary clearly outlines that SPINRAZA (nusinersen) is an antisense oligonucleotide designed to increase the production of functional Survival Motor Neuron (SMN) protein. The therapeutic goal and established mechanism of action are to halt or reverse the progressive muscle weakness and atrophy characteristic of Spinal Muscular Atrophy (SMA). Clinical evidence from pivotal trials (ENDEAR, CHERISH, NURTURE) consistently demonstrates that SPINRAZA prevents physical deterioration and often leads to significant improvements in motor function. The reported adverse event is the antithesis of the drug's known pharmacological effect. There is no published evidence suggesting a paradoxical effect or a mechanism by which SPINRAZA would cause the very condition it is intended to treat.
**3. Dechallenge/Rechallenge**
- **Dechallenge Result:** MISSING. The therapy was stopped on 2021-08-30, but the outcome of this dechallenge is not provided. It is unknown if the patient's condition improved, stabilized, or continued to decline after cessation of the drug.
- **Rechallenge Result:** U (Unknown). The patient was not rechallenged with SPINRAZA.
The lack of information from dechallenge and rechallenge means these criteria cannot be used to support or refute a causal relationship.
**4. Objective Evidence**
There is a significant lack of objective evidence to support a causal link. The event term 'General physical health deterioration' is a non-specific, subjective description. No objective clinical measures, such as motor function scores (e.g., HFMSE), were provided to quantify this deterioration. The literature search for 'SPINRAZA' and 'General physical health deterioration' yielded zero results, indicating an absence of published case reports or clinical studies documenting this specific association. Furthermore, the patient metadata includes a "History of Similar Reactions: Y," which strongly suggests that this type of deterioration has occurred previously, likely as a manifestation of the underlying disease.
**5. Confounding Factors**
The most significant confounding factor is the patient's indication for treatment: Spinal Muscular Atrophy (SMA). SMA is a progressive neurodegenerative disease defined by ongoing physical deterioration. The reported event is the primary symptom and natural course of the underlying illness. Therefore, it is highly probable that the event represents the progression of SMA itself, potentially due to a suboptimal response to therapy, rather than an adverse drug reaction. The patient's "History of Similar Reactions" further strengthens the likelihood that the event is a feature of their underlying condition. No concurrent medications were reported that could contribute to the event.
**6. Synthesis and Final Assessment**
The assessment of causality for 'General physical health deterioration' being caused by SPINRAZA is **LOW**. While a temporal association exists as the event occurred during treatment, this is the only factor weakly supporting causality. All other evidence points strongly against a causal relationship. The biological plausibility is extremely low, as the drug's mechanism of action is intended to prevent this exact outcome. There is no supportive literature, and the dechallenge/rechallenge data is uninformative. Most importantly, the patient's underlying disease, Spinal Muscular Atrophy, provides a compelling alternative explanation for the reported event, which aligns with the natural history of the condition and the patient's reported history of similar reactions. The event is best classified as a manifestation of disease progression rather than a drug-induced adverse event.
```</t>
  </si>
  <si>
    <t>Underlying spinal muscular atrophy represents a plausible alternative explanation for progressive health deterioration.</t>
  </si>
  <si>
    <t xml:space="preserve">Case ID: 199363053 
 Case Version: 3 
 FDA Code: F 
 Event Date: 20210101 
 Manufacture Date: 20250130 
 Initial FDA Date: 20211008 
 FDA Date: 20250206 
 Report Code: PER 
 Authorization Number: NA 
 Manufacturer Number: US-BIOGEN-2021BI01056255 
 Manufacturer Sender: BIOGEN 
 Literature Reference: NA 
 Age: NA 
 Age Code: NA 
 Age Group: NA 
 Sex: F 
 E Sub: Y 
 Weight: NA 
 Weight Code: NA 
 Report Date: 20250206 
 To Manufacturer: NA 
 Occupation Code: CN 
 Reporter Country: US 
 Occurrence Country: US 
 Adverse Reaction(s): Vitamin D abnormal ; Blood iron abnormal ; Weight increased ; General physical health deterioration ; Alopecia 
 Case ID Number: 19936305 
 Drug Sequence: 1 ; 2 
 Role Code: PS ; SS 
 Drug Name: SPINRAZA ; SPINRAZA 
 Product AI: SPINRAZA ; SPINRAZA 
 Val VBM: 1 ; 1 
 Route: Other ; Other 
 Dose VBM: NA ; NA 
 Cumulative Dose (Char): NA ; NA 
 Cumulative Dose (Unit): NA ; NA 
 Dechal: NA ; NA 
 Rechal: U ; U 
 Lot Number: NA ; NA 
 Expiration Date: NA ; NA 
 NDA Number: 209531 ; 209531 
 Dose Amount: NA ; NA 
 Dose Unit: NA ; NA 
 Dose Form: Unknown ; Unknown 
 Dose Frequency: NA ; NA 
 Indication for Use: Spinal muscular atrophy ; Spinal muscular atrophy ;  ;  
 Therapy Start Date: 20200122 ; 20200122 
 Therapy End Date: 20210830 ; NA 
 Duration: NA ; NA 
 Duration Code: NA ; NA </t>
  </si>
  <si>
    <t>Condition aggravated</t>
  </si>
  <si>
    <t>CLONAZEPAM</t>
  </si>
  <si>
    <t>## Pair Assessment: CLONAZEPAM vs Condition aggravated
**CrewAI Final Output:**
```
**Comprehensive Causality Assessment for Condition aggravated Associated with CLONAZEPAM**
**FINAL PLAUSIBILITY RATING:** LOW
**Detailed Causality Analysis:**
1.  **Temporal Plausibility**
    The temporal relationship between the administration of CLONAZEPAM and the onset of 'Condition aggravated' cannot be assessed. Key data points, including the Therapy Start date, Therapy End date, and the Event Date, are all marked as MISSING. Without this information, it is impossible to establish a plausible time-to-onset or determine if the event occurred during active treatment. This represents a significant weakness in the case.
2.  **Biological Plausibility**
    The biological plausibility is weak. CLONAZEPAM is a benzodiazepine that enhances GABAergic inhibition in the CNS, leading to sedation, muscle relaxation, and anxiolysis. While its known side effects, such as sedation, ataxia, or muscle weakness, could theoretically be perceived as a worsening of motor symptoms in a patient with Parkinson's disease, the term 'Condition aggravated' is non-specific. The provided literature summary (PMID: 11157026) offers no support for this association; it explicitly states that the abstract contains no evidence that clonazepam aggravated any condition. The patient's reported history of similar reactions ('Y') suggests a potential susceptibility, but lacks specific details to be weighted heavily.
3.  **Dechallenge/Rechallenge**
    The effect of drug withdrawal (dechallenge) or re-administration (rechallenge) is unknown. The case metadata explicitly states that the Dechallenge Result is MISSING and the Rechallenge Result is MISSING. The absence of this critical information prevents an assessment of whether the event abated upon stopping the drug or recurred upon its reintroduction, which are key indicators of a causal link.
4.  **Objective Evidence**
    There is no objective evidence provided to support a causal association. The assessment relies solely on the reporter's subjective term 'Condition aggravated'. No clinical scales (e.g., UPDRS), physician's notes, or diagnostic test results are available. Furthermore, the single literature source provided (PMID: 11157026) does not contain any evidence linking CLONAZEPAM to the aggravation of an underlying condition.
5.  **Confounding Factors**
    There are significant confounding factors present.
    *   **Underlying Disease:** The patient's indication for CLONAZEPAM is Parkinson's disease, which is a progressive neurodegenerative disorder. The event 'Condition aggravated' could very likely represent the natural, expected progression of the disease itself, independent of any drug therapy.
    *   **Concurrent Medication:** The patient was concurrently taking NOURIANZ, another medication indicated for Parkinson's disease. The event could be attributed to the effects (or lack of efficacy) of NOURIANZ, the progression of the disease despite treatment, or a potential drug-drug interaction.
6.  **Synthesis and Final Assessment**
    The overall causality assessment for CLONAZEPAM causing 'Condition aggravated' is **LOW**. This conclusion is based on a profound lack of supporting evidence. A temporal relationship cannot be established due to missing dates. The provided literature (PMID: 11157026) does not support the association. Crucial data from dechallenge/rechallenge are absent. Most importantly, strong confounding factors exist, including the natural progression of the patient's underlying Parkinson's disease and the concurrent use of another medication (NOURIANZ) for the same condition. The only element suggesting a link is the patient's history of similar reactions, which is insufficient to overcome the numerous and significant weaknesses of this case.
```</t>
  </si>
  <si>
    <t>Underlying Parkinson’s disease and the reported product dose omission issue may plausibly contribute to worsening of the condition.</t>
  </si>
  <si>
    <t>Condition aggravated: Symptom - Condition aggravated refers to the worsening of a pre-existing medical condition, which is typically reported subjectively by the patient or inferred from their reported experiences rather than being an objective, measurable finding.</t>
  </si>
  <si>
    <t xml:space="preserve">Condition aggravated: Sign - Condition aggravated is an objective assessment of worsening of a pre-existing condition, typically based on clinical evaluation or measurable parameters. </t>
  </si>
  <si>
    <t xml:space="preserve">Case ID: 204860093 
 Case Version: 3 
 FDA Code: F 
 Event Date: NA 
 Manufacture Date: 20250114 
 Initial FDA Date: 20220217 
 FDA Date: 20250116 
 Report Code: EXP 
 Authorization Number: NA 
 Manufacturer Number: US-KYOWAKIRIN-2022BKK001731 
 Manufacturer Sender: KYOWA 
 Literature Reference: NA 
 Age: NA 
 Age Code: NA 
 Age Group: NA 
 Sex: NA 
 E Sub: Y 
 Weight: NA 
 Weight Code: NA 
 Report Date: 20250116 
 To Manufacturer: NA 
 Occupation Code: CN 
 Reporter Country: US 
 Occurrence Country: US 
 Adverse Reaction(s): Product dose omission issue ; Condition aggravated ; Muscular weakness 
 Case ID Number: 20486009 
 Drug Sequence: 2 ; 1 
 Role Code: C ; PS 
 Drug Name: CLONAZEPAM ; NOURIANZ 
 Product AI: CLONAZEPAM ; NOURIANZ 
 Val VBM: 1 ; 1 
 Route: Unknown ; Oral 
 Dose VBM: 0.5 mg ; 20 mg, qd 
 Cumulative Dose (Char): NA ; NA 
 Cumulative Dose (Unit): NA ; NA 
 Dechal: NA ; NA 
 Rechal: NA ; NA 
 Lot Number: NA ; NA 
 Expiration Date: NA ; NA 
 NDA Number: NA ; 22075 
 Dose Amount: 0.5 ; 20 
 Dose Unit: MG ; MG 
 Dose Form: Tablet ; Tablet 
 Dose Frequency: NA ; QD 
 Indication for Use: Parkinson's disease ; Parkinson's disease ; Product used for unknown indication 
 Therapy Start Date: NA ; 20201014 
 Therapy End Date: NA ; NA 
 Duration: NA ; NA 
 Duration Code: NA ; NA </t>
  </si>
  <si>
    <t>POMALYST</t>
  </si>
  <si>
    <t>## Pair Assessment: POMALYST vs Visual impairment
**CrewAI Final Output:**
```
**Comprehensive Causality Assessment for Visual impairment Associated with POMALYST**
**FINAL PLAUSIBILITY RATING:** LOW
**Detailed Causality Analysis:**
1.  **Temporal Plausibility**
    The patient, an 80-year-old female, initiated therapy with POMALYST on January 19, 2022. The 'Visual impairment' event was reported on June 4, 2022, approximately 4.5 months after the start of treatment. This timeframe is plausible for the development of a drug-related adverse event. Therefore, a temporal relationship exists, which is a necessary but not sufficient criterion for causality.
2.  **Biological Plausibility**
    Based on the provided literature summary, there is no known or described mechanism of action by which POMALYST (pomalidomide) would cause visual impairment. The literature context suggests that in a reported case, visual impairment was a symptom of the underlying disease being treated, not a side effect of the drug. The absence of a known biological mechanism significantly weakens the argument for a causal relationship.
3.  **Dechallenge/Rechallenge**
    The case metadata explicitly states "Dechallenge Result: MISSING" and "Rechallenge Result: MISSING". No information was provided regarding the effect of stopping (dechallenge) or re-introducing (rechallenge) POMALYST on the patient's visual impairment. The absence of this information prevents a full assessment of this criterion and weakens the case for causality.
4.  **Objective Evidence**
    The provided clinical evidence summary, referencing PMID: 32142176, does not support a causal link between POMALYST and visual impairment. The summary states that the article describes a patient whose visual impairment was a pre-existing symptom caused by hyperviscosity syndrome secondary to IgM multiple myeloma. In that case, POMALYST was administered as part of a therapeutic regimen to treat the underlying disease that was the root cause of the visual symptoms. Therefore, the available literature does not establish causality and instead provides an alternative explanation for the event.
5.  **Confounding Factors**
    Several significant confounding factors are present:
    *   **Underlying Disease:** The patient's indication for POMALYST is "Plasma cell myeloma". As highlighted in the literature summary (PMID: 32142176), myeloma can lead to hyperviscosity syndrome, which is a known cause of visual impairment. The patient's underlying disease is a highly plausible alternative cause for the reported event.
    *   **History of Similar Reactions:** The metadata indicates a "History of Similar Reactions: Y". This strongly suggests the patient experienced visual issues previously, making it more likely that the event is a manifestation or progression of a pre-existing or underlying condition rather than a new, drug-induced event.
    *   **Patient Age:** At 80 years old, the patient is at an increased risk for various age-related ophthalmologic conditions that could cause or contribute to visual impairment.
6.  **Synthesis and Final Assessment**
    The only factor supporting a causal relationship is the temporal association, where the event occurred after the initiation of POMALYST. However, this is strongly outweighed by evidence against causality. There is no known biological mechanism for POMALYST to cause visual impairment. The provided literature (PMID: 32142176) does not support causality. Most importantly, there are strong confounding factors, including the patient's underlying plasma cell myeloma (a known cause of the event), advanced age, and a reported history of similar reactions. The lack of dechallenge/rechallenge information further weakens the case. The evidence strongly suggests that the visual impairment is likely related to the patient's underlying disease rather than the drug. Therefore, the causality is assessed as unlikely.
```</t>
  </si>
  <si>
    <t>Patient age (80 years) represents a plausible alternative explanation for visual impairment independent of pomalidomide exposure.</t>
  </si>
  <si>
    <t>Visual impairment: Symptom - Visual impairment is a subjective experience reported by the patient regarding reduced vision quality, not directly observable or measurable without patient input, making it a symptom rather than an objective sign.</t>
  </si>
  <si>
    <t xml:space="preserve">Case ID: 206654533 
 Case Version: 3 
 FDA Code: F 
 Event Date: 20220604 
 Manufacture Date: 20220608 
 Initial FDA Date: 20220402 
 FDA Date: 20250128 
 Report Code: PER 
 Authorization Number: NA 
 Manufacturer Number: US-BRISTOL-MYERS SQUIBB COMPANY-2022-012281 
 Manufacturer Sender: BRISTOL-MYERS SQUIBB COMPANY 
 Literature Reference: NA 
 Age: 80 
 Age Code: YR 
 Age Group: E 
 Sex: F 
 E Sub: Y 
 Weight: NA 
 Weight Code: NA 
 Report Date: 20250128 
 To Manufacturer: NA 
 Occupation Code: CN 
 Reporter Country: US 
 Occurrence Country: US 
 Adverse Reaction(s): Nausea ; Fatigue ; Oropharyngeal pain ; Visual impairment ; Dysphonia ; Dyspnoea 
 Case ID Number: 20665453 
 Drug Sequence: 1 
 Role Code: PS 
 Drug Name: POMALYST 
 Product AI: POMALYST 
 Val VBM: 1 
 Route: Oral 
 Dose VBM: 4 milligram 
 Cumulative Dose (Char): NA 
 Cumulative Dose (Unit): NA 
 Dechal: NA 
 Rechal: NA 
 Lot Number: C2453A, C2469A 
 Expiration Date: NA 
 NDA Number: NA 
 Dose Amount: 4 
 Dose Unit: MG 
 Dose Form: Unknown 
 Dose Frequency: QD 
 Indication for Use: Plasma cell myeloma ; Plasma cell myeloma 
 Therapy Start Date: 20220119 
 Therapy End Date: NA 
 Duration: NA 
 Duration Code: NA </t>
  </si>
  <si>
    <t>Product use issue</t>
  </si>
  <si>
    <t>TEDUGLUTIDE</t>
  </si>
  <si>
    <t>## Pair Assessment: TEDUGLUTIDE vs Product use issue
**CrewAI Final Output:**
```
**Comprehensive Causality Assessment for Product use issue Associated with TEDUGLUTIDE**
**FINAL PLAUSIBILITY RATING:** HIGH
**Detailed Causality Analysis:**
1.  **Temporal Plausibility**
    The therapy start date is missing, which prevents a precise calculation of the time to onset. However, the event term 'Product use issue' inherently implies that the event occurred at the time of product preparation or administration on the reported event date of 28-Apr-2022. Therefore, a direct temporal relationship is assumed and considered plausible.
2.  **Biological Plausibility**
    While 'Product use issue' is not a physiological adverse reaction linked to the drug's mechanism of action, there is high pharmaceutical plausibility. The provided literature summary explicitly states that Teduglutide is supplied as a lyophilized powder that must be reconstituted before subcutaneous injection. This multi-step process is described as a practical challenge that "can be prone to user error if training is inadequate." Therefore, it is highly plausible that the product's specific formulation and administration requirements could lead to a use-related issue.
3.  **Dechallenge/Rechallenge**
    The results for both dechallenge and rechallenge are reported as 'U' (Unknown). Consequently, the effect of stopping or re-introducing the drug on the event cannot be evaluated and does not contribute to this causality assessment.
4.  **Objective Evidence**
    The case involves a 14-year-old male patient. The most significant piece of objective evidence is the patient's reported "History of Similar Reactions: Y" (Yes). This indicates that the 'Product use issue' is a recurring problem for this patient, strengthening the association with the specific requirements of using Teduglutide. This is further supported by the literature summary, which identifies administration challenges, specifically the reconstitution process, as a known issue with this product.
5.  **Confounding Factors**
    The patient was not on any concurrent medications, eliminating the possibility of a drug-drug interaction or confusion with another product's administration process. No other alternative causes or confounding diseases are mentioned. The event is intrinsically linked to the act of using the product itself, making external confounding factors unlikely.
6.  **Synthesis and Final Assessment**
    The reported event, 'Product use issue', is strongly associated with the known characteristics of Teduglutide. The product's formulation as a lyophilized powder requiring a multi-step reconstitution process is a well-documented practical challenge prone to user error. This is strongly supported by the provided literature summary. The patient's history of similar reactions confirms that this is a recurring issue, rather than an isolated incident. The absence of confounding medications further isolates the cause to the use of Teduglutide. Although dechallenge and rechallenge information is unavailable, the combination of the product's known administration challenges and the patient's repeated experience provides strong evidence for a causal link.
Therefore, the causality is assessed as **HIGH**.
```</t>
  </si>
  <si>
    <t>Product use issue: Symptom - Product use issue refers to problems with how a product is used, such as incorrect administration or misunderstanding of instructions, which are subjective reports from patients or caregivers rather than objective, measurable findings.</t>
  </si>
  <si>
    <t xml:space="preserve">Product use issue: Sign - Product use issue is an observable event related to how a product is used, not a subjective patient experience. </t>
  </si>
  <si>
    <t xml:space="preserve">Case ID: 208576322 
 Case Version: 2 
 FDA Code: F 
 Event Date: NA 
 Manufacture Date: 20250526 
 Initial FDA Date: 20220521 
 FDA Date: 20250610 
 Report Code: EXP 
 Authorization Number: NA 
 Manufacturer Number: DE-AUROBINDO-AUR-APL-2022-017347 
 Manufacturer Sender: AUROBINDO 
 Literature Reference: Gines P., Pose E., Napoleone L., Amin A., Campion D., Jimenez C. et al.. Safety of two different doses of simvastatin plus rifaximin in decompensated cirrhosis (LIVERHOPE-SAFETY): a randomised, double-blind, placebo-controlled, phase 2 trial.. Lancet Gastroenterol Hepatol.. 2020;5:31-41 
 Age: 64 
 Age Code: YR 
 Age Group: NA 
 Sex: F 
 E Sub: Y 
 Weight: NA 
 Weight Code: NA 
 Report Date: 20250610 
 To Manufacturer: NA 
 Occupation Code: MD 
 Reporter Country: ES 
 Occurrence Country: DE 
 Adverse Reaction(s): Hepatotoxicity ; Musculoskeletal toxicity ; Rhabdomyolysis ; Drug interaction 
 Case ID Number: 20857632 
 Drug Sequence: 2 ; 1 
 Role Code: I ; PS 
 Drug Name: RIFAXIMIN ; SIMVASTATIN 
 Product AI: RIFAXIMIN ; SIMVASTATIN 
 Val VBM: 1 ; 1 
 Route: Unknown ; Oral 
 Dose VBM: 400 milligram, 3 Times a Day ; 40 milligram, Once a Day 
 Cumulative Dose (Char): NA ; NA 
 Cumulative Dose (Unit): NA ; NA 
 Dechal: NA ; NA 
 Rechal: U ; NA 
 Lot Number: NA ; NA 
 Expiration Date: NA ; NA 
 NDA Number: NA ; 77691 
 Dose Amount: 400 ; 40 
 Dose Unit: MG ; MG 
 Dose Form: Film Coated Tablet ; Film-coated tablet 
 Dose Frequency: TID ; QD 
 Indication for Use: Hepatic cirrhosis ; Hepatic cirrhosis 
 Therapy Start Date: NA ; NA 
 Therapy End Date: NA ; NA 
 Duration: NA ; NA 
 Duration Code: NA ; NA </t>
  </si>
  <si>
    <t>Off label use</t>
  </si>
  <si>
    <t>JAKAFI</t>
  </si>
  <si>
    <t>## Pair Assessment: JAKAFI vs Off label use
**CrewAI Final Output:**
```
**Comprehensive Causality Assessment for Off-label Use Associated with JAKAFI**
**FINAL PLAUSIBILITY RATING:** MEDIUM
**Detailed Causality Analysis:**
1. **Temporal Plausibility**: This point cannot be accurately evaluated as the event date, the therapy start and end dates are missing from the provided data.
2. **Biological Plausibility**: The mechanism of action of JAK inhibitors, including Ruxolitinib, provides reasonable biological plausibility for its off-label uses. Its selective inhibition of JAK isoforms underscores its therapeutic effects. Articles 1, 2, and 3 provide evidence for JAKAFI's off-label use in dermatological conditions, steroid-refractory myocarditis, and non-segmental vitiligo (NSV).
3. **Dechallenge/Rechallenge**: The dechallenge result is missing from the case data, and the rechallenge result is unknown (U). There is limited information to support the consequences of dechallenge/rechallenge, making it difficult to assess causality from this angle.
4. **Objective Evidence**: The provided literature mentions that JAKAFI has been used off-label for a variety of conditions and has shown therapeutic benefits. However, this evidence is mostly anecdotal or limited to small studies, highlighting the need for larger, more robust clinical trials.
5. **Confounding Factors**: The patient history is suggestive of similar reactions, indicating the possibility that the patient might have been exposed to JAKAFI or similar drugs before. However, without information on the patient's sex, weight, and other potential confounding conditions, it's not possible to make a clear determination.
6. **Synthesis and Final Assessment**: Considering the biological plausibility, limited objective evidence, potential for confounding factors, and absence of dechallenge/rechallenge information, the final plausibility of causality regarding off-label use associated with JAKAFI is considered medium. It is suggested to proceed with caution considering the patient’s age and history of similar reactions. More robust data from controlled clinical studies is needed to definitively establish a cause-effect relationship.
```
---</t>
  </si>
  <si>
    <t>This event represents use outside the approved indication rather than a pharmacological adverse reaction; alternative medical cause assessment is not applicable.</t>
  </si>
  <si>
    <t>Off label use  Case ID: Symptom - Off-label use refers to the use of a medication for purposes not approved by regulatory authorities, which is a practice or decision rather than an objective clinical finding or subjective patient experience. It does not fit the definitions of sign (objective evidence) or symptom (subjective experience), but is classified as a symptom by default as it is not a measurable clinical sign.</t>
  </si>
  <si>
    <t xml:space="preserve">Off label use: Sign - Off label use is an objective fact about medication usage, not a subjective patient experience. </t>
  </si>
  <si>
    <t xml:space="preserve">Case ID: 211625704 
 Case Version: 4 
 FDA Code: F 
 Event Date: NA 
 Manufacture Date: 20250324 
 Initial FDA Date: 20220802 
 FDA Date: 20250328 
 Report Code: EXP 
 Authorization Number: NA 
 Manufacturer Number: US-INCYTE CORPORATION-2022IN007196 
 Manufacturer Sender: INCYTE 
 Literature Reference: NA 
 Age: 68 
 Age Code: YR 
 Age Group: NA 
 Sex: NA 
 E Sub: Y 
 Weight: NA 
 Weight Code: NA 
 Report Date: 20250328 
 To Manufacturer: NA 
 Occupation Code: NA 
 Reporter Country: US 
 Occurrence Country: NA 
 Adverse Reaction(s): Pericardial effusion ; Full blood count decreased ; Liver disorder ; Haemoglobin abnormal ; Pleural effusion ; Drug intolerance ; Off label use 
 Case ID Number: 21162570 
 Drug Sequence: 1 ; 1 
 Role Code: PS ; PS 
 Drug Name: JAKAFI ; JAKAFI 
 Product AI: JAKAFI ; JAKAFI 
 Val VBM: 1 ; 1 
 Route: NA ; NA 
 Dose VBM: 20 milligram, bid ; 20 milligram, qd 
 Cumulative Dose (Char): NA ; NA 
 Cumulative Dose (Unit): NA ; NA 
 Dechal: NA ; NA 
 Rechal: U ; U 
 Lot Number: 1962218 ; NA 
 Expiration Date: NA ; NA 
 NDA Number: 202192 ; 202192 
 Dose Amount: 20 ; 20 
 Dose Unit: MG ; MG 
 Dose Form: NA ; NA 
 Dose Frequency: QD ; QD 
 Indication for Use: Myeloproliferative neoplasm ; Myeloproliferative neoplasm 
 Therapy Start Date: NA ; NA 
 Therapy End Date: NA ; NA 
 Duration: NA ; NA 
 Duration Code: NA ; NA </t>
  </si>
  <si>
    <t>DUPIXENT</t>
  </si>
  <si>
    <t>## Pair Assessment: DUPIXENT vs Visual impairment
**CrewAI Final Output:**
```
**Comprehensive Causality Assessment for Visual impairment Associated with DUPIXENT**
**FINAL PLAUSIBILITY RATING:** HIGH
**Detailed Causality Analysis:**
**1. Temporal Plausibility**
The temporal relationship between the initiation of DUPIXENT and the onset of 'Visual impairment' is strong and highly suggestive of a causal link. The patient, a 19-year-old male, started therapy on 20220901 and experienced the event on 20220907, resulting in a short time-to-onset of 6 days. This rapid onset is strongly supported by the provided literature. Specifically, **Article 1** characterizes dupilumab-related ocular events as an "early failure type" with a Weibull distribution beta value (β) of 0.68, indicating that the risk of such an event is highest during the initial phase of treatment. The observed 6-day latency in this case aligns perfectly with this established pattern.
**2. Biological Plausibility**
There is a strong biological plausibility for DUPIXENT causing visual impairment, based on an indirect inflammatory mechanism. The literature summary suggests that dupilumab, as an immunomodulating agent, can trigger localized inflammation of the ocular surface and eyelids, such as blepharitis and meibomian gland dysfunction (MGD). These conditions disrupt the ocular tear film, a known cause of symptoms like blurred vision and visual impairment. This mechanism is substantiated by robust clinical evidence from pharmacovigilance databases. **Article 3** reports significantly high Reporting Odds Ratios (RORs) for dupilumab associated with blepharitis (ROR = 35.7) and MGD (ROR = 15.4). Furthermore, **Article 2** identifies a significant overall signal for Ocular Adverse Reactions with dupilumab (ROR = 4.74), reinforcing the drug's association with this class of events.
**3. Dechallenge/Rechallenge**
Information regarding dechallenge and rechallenge is unavailable for this case, which represents a limitation in the assessment.
*   **Dechallenge Result:** MISSING. It is unknown if DUPIXENT was stopped or the dose was reduced, and therefore the effect of withdrawal on the visual impairment cannot be assessed.
*   **Rechallenge Result:** MISSING. There is no information on whether the patient was re-exposed to DUPIXENT after a potential recovery.
The absence of this information prevents the establishment of a definitive causal relationship.
**4. Objective Evidence**
The primary objective evidence supporting this case is the strong statistical association found in large-scale, real-world pharmacovigilance studies (FAERS database), as summarized in the provided context. Articles 1, 2, and 3 collectively establish a significant safety signal linking DUPIXENT to a spectrum of ocular adverse events, including the reported 'Visual impairment'. While this specific case report lacks detailed clinical data (e.g., ophthalmology exam findings, visual acuity measurements), the reported event is consistent with the known and well-documented safety profile of the drug.
**5. Confounding Factors**
Confounding factors in this case are minimal, strengthening the likelihood of a causal association with DUPIXENT.
*   **Concurrent Medications:** The patient was reported to be on a single drug (DUPIXENT), effectively ruling out other medications as a cause for the visual impairment.
*   **Medical History:** The patient's indication is atopic dermatitis. While the underlying condition can have ocular manifestations, the acute onset of visual symptoms just 6 days after initiating a new therapy strongly points to the drug as the precipitating factor.
*   **History of Similar Reactions:** The case notes a "History of Similar Reactions: Y". This is an ambiguous factor. It could suggest a pre-existing, intermittent condition. However, without further details, it could also represent a prior reaction to the same drug, which would strengthen the association. Given the strong temporal link and lack of other confounders, this factor does not significantly weaken the assessment.
**6. Synthesis and Final Assessment**
This case presents a compelling argument for a causal relationship between DUPIXENT and visual impairment. The assessment is supported by a very strong and clinically relevant temporal link (6-day onset), which is consistent with literature describing these events as an "early failure type" for this drug. The biological plausibility is high, based on a well-supported indirect mechanism of ocular surface inflammation, for which DUPIXENT has a very strong safety signal (ROR up to 35.7 for precursor conditions). The absence of confounding medications further isolates DUPIXENT as the most probable cause. The primary weakness is the lack of dechallenge and rechallenge data. However, the strength of the temporal and biological evidence is sufficient to rate the causality as **HIGH**.
```</t>
  </si>
  <si>
    <t>Conjunctivitis and dehydration reported concurrently in the case may plausibly contribute to visual impairment.</t>
  </si>
  <si>
    <t xml:space="preserve">Case ID: 214198192 
 Case Version: 2 
 FDA Code: F 
 Event Date: 20220907 
 Manufacture Date: 20250211 
 Initial FDA Date: 20221006 
 FDA Date: 20250222 
 Report Code: PER 
 Authorization Number: NA 
 Manufacturer Number: US-SA-2022SA403747 
 Manufacturer Sender: SANOFI AVENTIS 
 Literature Reference: NA 
 Age: 19 
 Age Code: YR 
 Age Group: A 
 Sex: M 
 E Sub: Y 
 Weight: NA 
 Weight Code: NA 
 Report Date: 20250222 
 To Manufacturer: NA 
 Occupation Code: MD 
 Reporter Country: US 
 Occurrence Country: US 
 Adverse Reaction(s): Urine abnormality ; Headache ; Conjunctivitis ; Thirst ; Visual impairment ; Dehydration 
 Case ID Number: 21419819 
 Drug Sequence: 1 
 Role Code: PS 
 Drug Name: DUPIXENT 
 Product AI: DUPIXENT 
 Val VBM: 1 
 Route: Subcutaneous 
 Dose VBM: 300 mg, QOW 
 Cumulative Dose (Char): NA 
 Cumulative Dose (Unit): NA 
 Dechal: NA 
 Rechal: NA 
 Lot Number: NA 
 Expiration Date: NA 
 NDA Number: 761055 
 Dose Amount: 300 
 Dose Unit: MG 
 Dose Form: Solution for injection 
 Dose Frequency: QOW 
 Indication for Use: Dermatitis atopic ; Dermatitis atopic 
 Therapy Start Date: 20220901 
 Therapy End Date: NA 
 Duration: NA 
 Duration Code: NA </t>
  </si>
  <si>
    <t>Drug ineffective</t>
  </si>
  <si>
    <t>ENHERTU</t>
  </si>
  <si>
    <t>## Pair Assessment: ENHERTU vs Drug ineffective
**CrewAI Final Output:**
```
**Comprehensive Causality Assessment for Drug ineffective Associated with ENHERTU**
**FINAL PLAUSIBILITY RATING:** LOW
**Detailed Causality Analysis:**
**1. Temporal Plausibility**
A temporal relationship between the administration of ENHERTU and the event 'Drug ineffective' cannot be established. Key data points such as the Therapy Start Date, Therapy End Date, and the Event Date are all marked as MISSING. Without this information, it is impossible to determine the duration of treatment before the lack of efficacy was observed. We cannot know if this was a case of primary resistance (ineffective from the start) or acquired resistance (ineffective after a period of response). Therefore, temporal plausibility cannot be assessed.
**2. Biological Plausibility**
The event 'Drug ineffective' is a biologically plausible and clinically expected outcome in the treatment of metastatic breast cancer. ENHERTU's mechanism of action relies on targeting HER2-expressing cells. Lack of efficacy can occur due to several well-understood mechanisms, including primary or acquired resistance, downregulation or loss of the HER2 target, or activation of alternative cellular signaling pathways that bypass the drug's effect.
The provided clinical evidence (PMID: 35665782) from the DESTINY-Breast04 trial, while demonstrating ENHERTU's significant efficacy over standard chemotherapy, also confirms that disease progression is an expected outcome. The trial reported a median progression-free survival of 9.9 months, indicating that for half the patients, the drug was rendered 'ineffective' by this time point due to disease advancement. The patient's reported "History of Similar Reactions: Y" further supports this, suggesting a history of treatment failures, which is characteristic of the natural progression of metastatic cancer.
**3. Dechallenge/Rechallenge**
-   **Dechallenge:** The result was 'U' (Unknown). For a 'Drug ineffective' event, a positive dechallenge (i.e., improvement upon stopping the drug) is not expected. Discontinuation of an ineffective therapy would likely lead to further disease progression. The unknown result is uninformative.
-   **Rechallenge:** The result was 'MISSING'. A rechallenge was not performed.
The dechallenge and rechallenge data provide no information to support or refute causality.
**4. Objective Evidence**
There is no objective evidence provided within the case itself (e.g., imaging scans, biomarker status) to confirm disease progression. However, the literature provides strong objective evidence regarding the drug's performance. The pivotal trial for ENHERTU (PMID: 35665782) establishes it as an effective therapy but also quantifies the expected rate of treatment failure over time in this patient population. This literature confirms that 'Drug ineffective' is a known and documented outcome for patients treated with ENHERTU for metastatic breast cancer.
**5. Confounding Factors**
The most significant confounding factor is the natural history of the patient's underlying disease: metastatic breast cancer. This is an inherently progressive condition where eventual treatment failure is the expected course. The patient's "History of Similar Reactions: Y" strongly suggests that this event is another step in the disease's progression, following the failure of previous therapies. Other potential confounders, such as suboptimal dosing or administration errors, cannot be evaluated due to MISSING data (Dose, Route). As there were no concurrent medications, drug-drug interactions are not a confounding factor.
**6. Synthesis and Final Assessment**
This case describes a 'Drug ineffective' event for ENHERTU in a patient with metastatic breast cancer. While such an event is a clinically expected and biologically plausible outcome due to disease progression and potential resistance mechanisms, a causality assessment must determine if the *drug* is the cause of the event.
In the context of a lack of efficacy, the drug is not the causative agent; rather, the event represents a failure of the drug to overcome the underlying pathophysiology of the disease. The cause of the event is the progressive nature of the metastatic breast cancer itself. The literature (PMID: 35665782) and the patient's history of prior treatment failures support this conclusion. The assessment is severely limited by the absence of temporal data and other critical details.
Therefore, attributing a causal role to ENHERTU for its own ineffectiveness is inappropriate. The drug did not induce a new pathological process; it failed to halt an existing one. Based on this, the causal relationship between the drug and the event is rated as **LOW**.
```
---</t>
  </si>
  <si>
    <t>Underlying metastatic breast cancer progression may plausibly explain lack of therapeutic effect independent of a drug-related adverse reaction.</t>
  </si>
  <si>
    <t xml:space="preserve">Drug ineffective: Symptom - Drug ineffectiveness is typically reported by the patient or clinician based on subjective assessment of treatment response, rather than objective measurable evidence. It reflects the patient's experience or clinical judgment that the medication is not producing the expected therapeutic effect. </t>
  </si>
  <si>
    <t>Drug ineffective: Sign - Drug ineffectiveness is an objective assessment based on lack of therapeutic effect, measurable by clinical evaluation or laboratory tests.</t>
  </si>
  <si>
    <t xml:space="preserve">Case ID: 214662624 
 Case Version: 4 
 FDA Code: F 
 Event Date: NA 
 Manufacture Date: 20250310 
 Initial FDA Date: 20221017 
 FDA Date: 20250312 
 Report Code: PER 
 Authorization Number: NA 
 Manufacturer Number: US-DSJP-DSU-2022-137156 
 Manufacturer Sender: DAIICHI 
 Literature Reference: NA 
 Age: NA 
 Age Code: NA 
 Age Group: NA 
 Sex: F 
 E Sub: Y 
 Weight: NA 
 Weight Code: NA 
 Report Date: 20250312 
 To Manufacturer: NA 
 Occupation Code: CN 
 Reporter Country: US 
 Occurrence Country: GB 
 Adverse Reaction(s): Lung disorder ; Neuropathy peripheral ; Parosmia ; Flatulence ; Hyperacusis ; Drug ineffective ; Eructation ; Anger 
 Case ID Number: 21466262 
 Drug Sequence: 1 ; 2 
 Role Code: PS ; SS 
 Drug Name: ENHERTU ; ENHERTU 
 Product AI: ENHERTU ; ENHERTU 
 Val VBM: 1 ; 1 
 Route: Unknown ; Unknown 
 Dose VBM: UNK ; UNK 
 Cumulative Dose (Char): NA ; NA 
 Cumulative Dose (Unit): NA ; NA 
 Dechal: U ; U 
 Rechal: NA ; NA 
 Lot Number: NA ; NA 
 Expiration Date: NA ; NA 
 NDA Number: 761139 ; 761139 
 Dose Amount: NA ; NA 
 Dose Unit: NA ; NA 
 Dose Form: INJECTION, POWDER, LYOPHILIZED, FOR SOLUTION ; INJECTION, POWDER, LYOPHILIZED, FOR SOLUTION 
 Dose Frequency: NA ; NA 
 Indication for Use: Breast cancer metastatic ;  
 Therapy Start Date: NA ; NA 
 Therapy End Date: NA ; NA 
 Duration: NA ; NA 
 Duration Code: NA ; NA </t>
  </si>
  <si>
    <t>Drug withdrawal syndrome</t>
  </si>
  <si>
    <t>PROPECIA</t>
  </si>
  <si>
    <t>## Pair Assessment: PROPECIA vs Drug withdrawal syndrome
**CrewAI Final Output:**
```
**Comprehensive Causality Assessment for Drug withdrawal syndrome Associated with PROPECIA**
**FINAL PLAUSIBILITY RATING:** HIGH
**Detailed Causality Analysis:**
1.  **Temporal Plausibility**
    The patient was on long-term therapy with PROPECIA for approximately 6.5 years (March 2011 to September 2017). The event, 'Drug withdrawal syndrome', is reported with an onset date of January 2017, occurring during treatment and persisting after discontinuation in September 2017. The term 'Drug withdrawal syndrome' in this context, especially when considering the literature on Post-Finasteride Syndrome (PFS), refers to symptoms that persist after the drug is stopped. The long duration of exposure followed by the persistence of symptoms after cessation establishes a strong and plausible temporal relationship.
2.  **Biological Plausibility**
    PROPECIA (finasteride) is a 5 alpha-reductase inhibitor that blocks the conversion of testosterone to dihydrotestosterone (DHT). The provided literature summary explicitly describes an emerging clinical problem known as Post-Finasteride Syndrome (PFS), which is characterized as a "drug withdrawal syndrome." This syndrome involves persistent adverse effects (sexual, mood, cognitive) that remain even after discontinuing the drug. While the summary notes that the specific molecular mechanisms for the persistence of these effects are "poorly explored," the existence of this described syndrome, which has been recognized by major regulatory agencies (FDA, MHRA), provides a strong basis for biological plausibility at the clinical level.
3.  **Dechallenge/Rechallenge**
    The dechallenge result is explicitly stated as Negative ('N'). This means the adverse event did not resolve or improve upon discontinuation of PROPECIA. This negative dechallenge is the most compelling piece of evidence in this case, as it directly aligns with the core definition of Post-Finasteride Syndrome (PFS) provided in the literature summary, which is defined by its *persistent* nature after drug cessation. The rechallenge result is 'MISSING', and a rechallenge would not be clinically appropriate in this scenario.
4.  **Objective Evidence**
    The primary evidence is the case report itself, which is strongly supported by the provided clinical evidence summary. The literature confirms that a 'Drug withdrawal syndrome' (termed PFS) is associated with finasteride. Crucially, this association is recognized at a regulatory level; the US FDA, UK MHRA, and Swedish Medical Products Agency have all required label updates to warn about multiple persistent side effects. This regulatory action serves as significant objective evidence for the existence of this drug-event association.
5.  **Confounding Factors**
    Confounding factors appear to be minimal. The patient was reportedly on a single drug ('N/A: single drug'), which rules out the influence of concurrent medications. The patient's medical history is largely unknown, but the indication for PROPECIA (likely androgenetic alopecia) is not known to cause such a syndrome. The reported 'History of Similar Reactions: Y' does not act as a confounder but may suggest a pre-existing susceptibility in this patient, potentially strengthening the individual case causality. Missing data such as age and specific symptoms are limitations but do not introduce known confounders.
6.  **Synthesis and Final Assessment**
    The assessment for causality is HIGH. This conclusion is based on the powerful alignment between the case data and the provided literature. The long-term exposure is followed by a syndrome that persists after drug withdrawal, which is a classic temporal sequence for PFS. The negative dechallenge ('N') is the hallmark feature of this specific syndrome as described in the literature. The biological plausibility is supported by the recognition of PFS as a clinical entity by multiple international regulatory agencies. Finally, the absence of confounding medications isolates PROPECIA as the likely causal agent. The combination of a negative dechallenge that perfectly matches the described syndrome and regulatory-level recognition strongly supports a causal link.
```
---</t>
  </si>
  <si>
    <t>This event reflects discontinuation effects/use-related circumstances rather than a pharmacological adverse reaction; alternative medical cause assessment is not applicable.</t>
  </si>
  <si>
    <t xml:space="preserve">Drug withdrawal syndrome: Symptom - Drug withdrawal syndrome is a collection of subjective experiences reported by patients when discontinuing a medication, including psychological and physical manifestations that are primarily patient-reported rather than objectively measurable by clinicians. </t>
  </si>
  <si>
    <t>Drug withdrawal syndrome: Sign - Drug withdrawal syndrome involves observable physiological and behavioral changes, making it objective evidence.</t>
  </si>
  <si>
    <t xml:space="preserve">Case ID: 217413962 
 Case Version: 2 
 FDA Code: F 
 Event Date: 20170101 
 Manufacture Date: 20250324 
 Initial FDA Date: 20221216 
 FDA Date: 20250402 
 Report Code: EXP 
 Authorization Number: IT-MINISAL02-437496 
 Manufacturer Number: IT-ORGANON-1710ITA005825 
 Manufacturer Sender: ORGANON 
 Literature Reference: NA 
 Age: NA 
 Age Code: NA 
 Age Group: NA 
 Sex: M 
 E Sub: Y 
 Weight: NA 
 Weight Code: NA 
 Report Date: 20250402 
 To Manufacturer: NA 
 Occupation Code: LW 
 Reporter Country: IT 
 Occurrence Country: IT 
 Adverse Reaction(s): Somatic symptom disorder ; Erectile dysfunction ; Major depression ; Dysphoria ; Vision blurred ; Drug withdrawal syndrome ; Libido decreased ; General physical health deterioration ; Anxiety 
 Case ID Number: 21741396 
 Drug Sequence: 1 
 Role Code: PS 
 Drug Name: PROPECIA 
 Product AI: PROPECIA 
 Val VBM: 1 
 Route: Oral 
 Dose VBM: 1 mg, qd 
 Cumulative Dose (Char): NA 
 Cumulative Dose (Unit): NA 
 Dechal: N 
 Rechal: NA 
 Lot Number: NA 
 Expiration Date: NA 
 NDA Number: 20788 
 Dose Amount: 1 
 Dose Unit: MG 
 Dose Form: Film-coated tablet 
 Dose Frequency: QD 
 Indication for Use:  ;  
 Therapy Start Date: 20110331 
 Therapy End Date: 201709 
 Duration: NA 
 Duration Code: NA </t>
  </si>
  <si>
    <t>## Pair Assessment: PROPECIA vs General physical health deterioration
**CrewAI Final Output:**
```
**Comprehensive Causality Assessment for General physical health deterioration Associated with PROPECIA**
**FINAL PLAUSIBILITY RATING:** HIGH
**Detailed Causality Analysis:**
**1. Temporal Plausibility**
The temporal relationship is plausible. The patient initiated PROPECIA therapy on March 31, 2011, and the adverse event, 'General physical health deterioration', was reported to have an onset date of January 1, 2017. This represents a latency period of approximately 5 years and 9 months. While long, the nature of the event as a "deterioration" suggests a gradual, cumulative process rather than an acute reaction, making this timeframe reasonable. The event occurred during active treatment, establishing a clear temporal association.
**2. Biological Plausibility**
The biological plausibility is high. PROPECIA (finasteride) is a systemic 5-alpha-reductase inhibitor that significantly reduces dihydrotestosterone (DHT) and disrupts neurosteroid synthesis. The provided literature summary explains that while "General physical health deterioration" is a non-specific term, it aligns with a recognized constellation of symptoms sometimes referred to as Post-Finasteride Syndrome (PFS). The literature explicitly documents associated physical symptoms such as "chronic fatigue, muscle weakness, myalgia... and decreased physical stamina," as well as neuropsychiatric symptoms like depression and cognitive dysfunction ("brain fog"). These documente</t>
  </si>
  <si>
    <t>Major depression, anxiety, and somatic symptom disorder reported concurrently in the case represent plausible alternative explanations for general physical deterioration independent of Propecia exposure.</t>
  </si>
  <si>
    <t xml:space="preserve">General physical health deterioration: Symptom - This term describes a subjective decline in overall health as perceived or reported by the patient, rather than an objective, measurable finding. It encompasses multiple potential underlying issues but lacks specific observable evidence. </t>
  </si>
  <si>
    <t>METOPIRONE</t>
  </si>
  <si>
    <t>## Pair Assessment: METOPIRONE vs Condition aggravated
**CrewAI Final Output:**
```
**Comprehensive Causality Assessment for Condition aggravated Associated with METOPIRONE**
**FINAL PLAUSIBILITY RATING:** MEDIUM
**Detailed Causality Analysis:**
**1. Temporal Plausibility**
The temporal relationship between the initiation of METOPIRONE and the onset of 'Condition aggravated' cannot be fully assessed due to missing data. The event date is provided as 23-Nov-2022, but the therapy start date is listed as 'MISSING'. While the event occurred during therapy, the absence of a start date prevents the calculation of latency (time to onset). A known latency that aligns with the drug's pharmacology would strengthen the association, but this information is unavailable. Therefore, temporal plausibility is weak and indeterminate.
**2. Biological Plausibility**
The biological plausibility for METOPIRONE aggravating a pre-existing or underlying condition is high. The provided literature summary, based on Metopirone's (metyrapone) mechanism of action as an 11β-hydroxylase inhibitor, directly supports this.
*   **Mechanism:** By blocking cortisol synthesis, METOPIRONE can lead to an over-correction of hypercortisolism, precipitating or aggravating **adrenal insufficiency**. Furthermore, the shunting of steroid precursors can lead to an accumulation of 11-deoxycortisol, which has mineralocorticoid activity, potentially causing or aggravating **hypertension** and **hypokalemia**. Increased ACTH stimulation can also drive the androgen pathway, aggravating conditions like **hirsutism** and **acne**, particularly relevant for this 27-year-old female patient.
*   **Patient History:** The case metadata notes a "History of Similar Reactions: Y". This is a significant factor that strongly supports the biological plausibility, suggesting a potential predisposition or a previous, similar drug-event association for this patient, although details of the prior reaction are not provided.
*   **Event Specificity:** The term 'Condition aggravated' is non-specific. However, it is highly plausible that it refers to one of the well-documented effects mentioned above, which are direct pharmacological consequences of the drug's action.
**3. Dechallenge/Rechallenge**
Information regarding dechallenge and rechallenge is unavailable.
*   **Dechallenge Result:** MISSING
*   **Rechallenge Result:** MISSING
The absence of this information represents a significant data gap. A positive dechallenge (symptom improvement upon drug withdrawal) would have substantially strengthened the causal link.
**4. Objective Evidence**
While the provided PubMed search for the specific terms `METOPIRONE AND Condition aggravated` yielded 0 articles, this is likely due to the non-specific nature of the event term. Substantial objective evidence exists in established pharmacological literature supporting the drug's capacity to aggravate specific conditions. The provided clinical evidence summary details the mechanisms for aggravating adrenal insufficiency, hypertension, hypokalemia, and hyperandrogenism. The patient's reported "History of Similar Reactions: Y" serves as case-specific evidence, albeit lacking detail.
**5. Confounding Factors**
*   **Concurrent Medications:** The report states "N/A: single drug," which effectively rules out confounding by other medications.
*   **Underlying Disease:** The patient's indication, 'Pituitary-dependent Cushing's syndrome', is a major potential confounding factor. Cushing's syndrome itself is characterized by a wide array of signs and symptoms (e.g., hypertension, hirsutism, fatigue). The reported 'Condition aggravated' could represent a progression or fluctuation of the underlying disease rather than a drug-induced effect. Without knowing the specific condition that was aggravated, it is impossible to distinguish between a worsening of the underlying pathology and a direct adverse effect of METOPIRONE.
**6. Synthesis and Final Assessment**
The assessment presents conflicting evidence. On one hand, the biological plausibility is high, supported by the well-understood mechanism of METOPIRONE and its known effects on steroid pathways. The patient's history of similar reactions further strengthens this aspect. The absence of concurrent medications is also a point in favor of causality.
However, there are significant weaknesses. The temporal relationship is unknown due to a missing start date. The lack of dechallenge/rechallenge information removes a key pillar of causality assessment. Most importantly, the non-specific event term 'Condition aggravated' combined with the confounding nature of the underlying Cushing's syndrome makes it difficult to definitively attribute the event to the drug versus the disease itself.
Given the strong biological plausibility and patient history, a 'LOW' rating is not justified. However, due to the critical missing data (temporality, dechallenge) and the major confounding factor of the underlying disease, a 'HIGH' rating cannot be supported. Therefore, a **MEDIUM** plausibility rating is the most appropriate conclusion.
```
---</t>
  </si>
  <si>
    <t>Underlying pituitary-dependent Cushing’s syndrome represents a plausible alternative explanation for worsening clinical condition independent of Metopirone exposure.</t>
  </si>
  <si>
    <t>Condition aggravated  Case ID: Symptom - The term 'Condition aggravated' refers to a worsening of an existing medical condition, which is typically reported subjectively by the patient or assessed based on patient-reported outcomes rather than objective measurements.</t>
  </si>
  <si>
    <t>Condition aggravated: Sign - Condition aggravated is an objective assessment of worsening of a pre-existing condition, typically based on clinical evaluation or measurable parameters.</t>
  </si>
  <si>
    <t xml:space="preserve">Case ID: 220578453 
 Case Version: 3 
 FDA Code: F 
 Event Date: 20221123 
 Manufacture Date: 20241120 
 Initial FDA Date: 20230303 
 FDA Date: 20250130 
 Report Code: PER 
 Authorization Number: NA 
 Manufacturer Number: US-ORG100014127-2022001481 
 Manufacturer Sender: HRA PHARMA 
 Literature Reference: NA 
 Age: 27 
 Age Code: YR 
 Age Group: NA 
 Sex: F 
 E Sub: Y 
 Weight: NA 
 Weight Code: NA 
 Report Date: 20250130 
 To Manufacturer: NA 
 Occupation Code: CN 
 Reporter Country: US 
 Occurrence Country: US 
 Adverse Reaction(s): Off label use ; Fatigue ; Joint swelling ; Headache ; Nausea ; Condition aggravated 
 Case ID Number: 22057845 
 Drug Sequence: 2 ; 1 
 Role Code: SS ; PS 
 Drug Name: METOPIRONE ; METOPIRONE 
 Product AI: METOPIRONE ; METOPIRONE 
 Val VBM: 1 ; 1 
 Route: NA ; NA 
 Dose VBM: 2 Capsules by mouth every morning, 2 capsules at noon and 2 capsules at evening. ; NA 
 Cumulative Dose (Char): NA ; NA 
 Cumulative Dose (Unit): NA ; NA 
 Dechal: NA ; NA 
 Rechal: NA ; NA 
 Lot Number: UNK ; UNK 
 Expiration Date: NA ; NA 
 NDA Number: 16885 ; 16885 
 Dose Amount: 1500 ; 1000 
 Dose Unit: MG ; MG 
 Dose Form: Capsule ; Capsule 
 Dose Frequency: QD ; QD 
 Indication for Use: Pituitary-dependent Cushing's syndrome ; Pituitary-dependent Cushing's syndrome ; Pituitary-dependent Cushing's syndrome 
 Therapy Start Date: NA ; 20221123 
 Therapy End Date: NA ; NA 
 Duration: NA ; NA 
 Duration Code: NA ; NA </t>
  </si>
  <si>
    <t>PHESGO</t>
  </si>
  <si>
    <t>## Pair Assessment: PHESGO vs Off label use
**CrewAI Final Output:**
```
**Comprehensive Causality Assessment for Off label use Associated with PHESGO**
**FINAL PLAUSIBILITY RATING:** LOW
**Detailed Causality Analysis:**
1.  **Temporal Plausibility**
    The concept of temporal plausibility is not directly applicable in this context. The event 'Off label use' is a circumstance of administration, not a physiological reaction. The 'event' would have commenced concurrently with the therapy start date of 20230207. However, the validity of the event itself is in question, rendering a temporal analysis moot.
2.  **Biological Plausibility**
    This criterion is not applicable. 'Off label use' is a regulatory and prescribing classification, not a biological or pharmacological effect mediated by the drug's mechanism of action. There is no biological mechanism through which PHESGO can 'cause' the event of being used off-label.
3.  **Dechallenge/Rechallenge**
    The dechallenge result is reported as 'D' (Drug withdrawn). This indicates the therapy was stopped, which would by definition also stop the 'Off label use'. However, this information does not contribute to establishing causality for this type of event, as stopping the drug will always stop the circumstance of its use. The rechallenge result is MISSING.
4.  **Objective Evidence**
    The objective evidence provided contradicts the reported event. The indication for PHESGO use in this 38-year-old female patient is listed as 'Breast cancer metastatic'. PHESGO is approved for the treatment of HER2-positive metastatic breast cancer. Therefore, the use described in the case is, by definition, *on-label*, not off-label. Furthermore, the provided literature summary (referencing PMIDs: 41294658, 41079254, 40968745) contains no articles linking PHESGO to off-label use, further weakening the claim.
5.  **Confounding Factors**
    The most significant confounding factor is a likely reporting or data coding error. The term 'Off label use' was likely entered in error, given that the provided indication ('Breast cancer metastatic') is an approved use for PHESGO. The patient's history of similar reactions ('Y') is difficult to interpret for a non-physiological event and is likely not relevant. No concurrent medications were reported that could confound the assessment.
6.  **Synthesis and Final Assessment**
    The assessment of causality between PHESGO and the event 'Off label use' is LOW. The core of this assessment rests on the direct contradiction between the reported event and the provided indication. The use of PHESGO for 'Breast cancer metastatic' is an established, on-label indication. Therefore, the event 'Off label use' did not occur as reported. The case information strongly suggests a data entry or classification error by the reporter. The concepts of biological plausibility and dechallenge are not applicable to this type of administrative event. Based on the available evidence, a causal link cannot be established because the fundamental premise of the event is incorrect.
```
---</t>
  </si>
  <si>
    <t>Off label use Case ID: Symptom - Off-label use refers to the administration of a medication for a purpose not approved by regulatory authorities, which is a practice or decision rather than an objective clinical finding or subjective patient experience. It does not fit the definitions of sign (objective evidence) or symptom (subjective experience), but is classified as a symptom by default as it is not a measurable clinical sign.</t>
  </si>
  <si>
    <t xml:space="preserve">Case ID: 220728806 
 Case Version: 6 
 FDA Code: F 
 Event Date: NA 
 Manufacture Date: 20250219 
 Initial FDA Date: 20230308 
 FDA Date: 20250304 
 Report Code: EXP 
 Authorization Number: NA 
 Manufacturer Number: IN-ROCHE-3299718 
 Manufacturer Sender: ROCHE 
 Literature Reference: NA 
 Age: 38 
 Age Code: YR 
 Age Group: A 
 Sex: F 
 E Sub: Y 
 Weight: 69.9 
 Weight Code: KG 
 Report Date: 20250304 
 To Manufacturer: NA 
 Occupation Code: MD 
 Reporter Country: IN 
 Occurrence Country: IN 
 Adverse Reaction(s): Disease progression ; Viral infection ; Off label use 
 Case ID Number: 22072880 
 Drug Sequence: 1 
 Role Code: PS 
 Drug Name: PHESGO 
 Product AI: PHESGO 
 Val VBM: 1 
 Route: Subcutaneous 
 Dose VBM: NA 
 Cumulative Dose (Char): NA 
 Cumulative Dose (Unit): NA 
 Dechal: D 
 Rechal: NA 
 Lot Number: B2304B08 
 Expiration Date: NA 
 NDA Number: NA 
 Dose Amount: 600 
 Dose Unit: MG 
 Dose Form: Injection 
 Dose Frequency: NA 
 Indication for Use: Breast cancer metastatic ; Breast cancer metastatic 
 Therapy Start Date: 20230207 
 Therapy End Date: NA 
 Duration: NA 
 Duration Code: NA </t>
  </si>
  <si>
    <t>OPDUALAG</t>
  </si>
  <si>
    <t>## Pair Assessment: OPDUALAG vs Off label use
**CrewAI Final Output:**
```
**Comprehensive Causality Assessment for Off label use Associated with OPDUALAG**
**FINAL PLAUSIBILITY RATING:** HIGH
**Detailed Causality Analysis:**
1.  **Temporal Plausibility**
    The event 'Off label use' is a circumstance of drug administration rather than a physiological reaction. The temporal relationship is therefore inherent and certain. The drug, OPDUALAG, was administered to the patient for the indication of 'Mesothelioma'. The administration of the drug for this specific indication constitutes the event itself. Although the provided Therapy End date (20230405) precedes the Event Date (20230511), this is likely a reporting artifact. The core temporal element—that the drug was administered for an off-label indication—is definitively established by the case details.
2.  **Biological Plausibility**
    While 'Off label use' is not a biological event, its medical plausibility can be assessed. The approved indication for OPDUALAG is unresectable or metastatic melanoma. The reported indication in this case is 'Mesothelioma'. OPDUALAG is a combination of nivolumab (a PD-1 inhibitor) and relatlimab (a LAG-3 inhibitor). Nivolumab as a monotherapy or in combination with other agents is an established and approved treatment for malignant pleural mesothelioma. Therefore, a prescriber's decision to use OPDUALAG, which contains nivolumab, for mesothelioma is medically plausible, likely in an attempt to achieve a synergistic or enhanced anti-tumor effect by adding the LAG-3 blockade. This high degree of medical plausibility supports the rationale behind the off-label prescription.
3.  **Dechallenge/Rechallenge**
    *   **Dechallenge:** The dechallenge result is 'D' (Drug Withdrawn), with a therapy end date of 20230405. For the event 'Off label use', withdrawing the drug inherently resolves the event, as the off-label administration ceases. This constitutes a positive dechallenge.
    *   **Rechallenge:** The rechallenge result is 'MISSING'. There is no information on whether the patient was retreated with OPDUALAG for the same indication.
4.  **Objective Evidence**
    The objective evidence for this event is strong and direct.
    *   **Case Data:** The case explicitly reports the indication for OPDUALAG use as 'Mesothelioma'.
    *   **Literature Evidence:** The provided context, based on a PubMed search (0 articles found for 'OPDUALAG' AND 'Off label use'), confirms there is no published clinical evidence for this specific off-label use. Furthermore, the summary of the RELATIVITY-047 trial clearly establishes the approved on-label indication as unresectable or metastatic melanoma.
    *   The discrepancy between the reported indication ('Mesothelioma') and the established approved indication ('melanoma') is the definitive evidence confirming the 'Off label use' event occurred.
5.  **Confounding Factors**
    *   **Concurrent Medications:** Reported as 'N/A', eliminating the influence of other drugs on the circumstance of use.
    *   **Patient History:** The patient has a 'History of Similar Reactions' (Y). For an event like 'Off label use', this is ambiguous but could suggest the patient has previously been treated with medications for unapproved indications. This does not confound the assessment but rather may indicate a pattern of care; it does not alter the fact that this specific use of OPDUALAG was off-label. The primary causal factor for this event is the prescriber's decision, which is outside the scope of drug-induced causality but confirms the event's occurrence.
6.  **Synthesis and Final Assessment**
    The assessment of causality for 'Off label use' is definitive in this case. The event is established by the direct report of 'Mesothelioma' as the indication for treatment, which is not the FDA-approved indication for OPDUALAG. The medical rationale for this use is plausible given that a component of the drug, nivolumab, is approved for mesothelioma. The dechallenge was positive by definition, as stopping the drug ended the off-label use. The lack of confounding medications and the supporting literature summary, which confirms the on-label indication and absence of published data for this off-label use, provide clear and objective evidence. All available information points directly to the conclusion that OPDUALAG was administered for an off-label indication. Therefore, the causal relationship is rated as HIGH.
```
---</t>
  </si>
  <si>
    <t>Off label use   Case ID: Symptom - Off-label use refers to the administration of a medication for a purpose not approved by regulatory authorities, which is a practice or decision rather than an objective clinical finding or subjective patient experience. It does not fit the definitions of sign (objective evidence) or symptom (subjective experience), but is classified as a symptom by default as it is not a measurable clinical sign.</t>
  </si>
  <si>
    <t>Case ID: 223339302 
 Case Version: 2 
 FDA Code: F 
 Event Date: 20230511 
 Manufacture Date: 20230515 
 Initial FDA Date: 20230517 
 FDA Date: 20250214 
 Report Code: EXP 
 Authorization Number: NA 
 Manufacturer Number: US-BRISTOL-MYERS SQUIBB COMPANY-2023-068942 
 Manufacturer Sender: BRISTOL-MYERS SQUIBB COMPANY 
 Literature Reference: NA 
 Age: 41 
 Age Code: YR 
 Age Group: A 
 Sex: F 
 E Sub: Y 
 Weight: NA 
 Weight Code: NA 
 Report Date: 20250214 
 To Manufacturer: NA 
 Occupation Code: HP 
 Reporter Country: US 
 Occurrence Country: US 
 Adverse Reaction(s): Death ; Off label use 
 Case ID Number: 22333930 
 Drug Sequence: 1 
 Role Code: PS 
 Drug Name: OPDUALAG 
 Product AI: OPDUALAG 
 Val VBM: 1 
 Route: Intravenous (not otherwise specified) 
 Dose VBM: Dose : 480 mg/160 mg;     FREQ : Every 28 days 
 Cumulative Dose (Char): NA 
 Cumulative Dose (Unit): NA 
 Dechal: D 
 Rechal: NA 
 Lot Number: Unknown 
 Expiration Date: NA 
 NDA Number: 761234 
 Dose Amount: NA 
 Dose Unit: NA 
 Dose Form: Solution for injection 
 Dose Frequency: NA 
 Indication for Use: Mesothelioma ; Mesothelioma 
 Therapy Start Date: NA 
 Therapy End Date: 20230405 
 Duration: NA 
 Duration Code: NA</t>
  </si>
  <si>
    <t>VEDOLIZUMAB</t>
  </si>
  <si>
    <t>## Pair Assessment: VEDOLIZUMAB vs Drug ineffective
**CrewAI Final Output:**
```
**Comprehensive Causality Assessment for Drug ineffective Associated with VEDOLIZUMAB**
**FINAL PLAUSIBILITY RATING:** MEDIUM
**Detailed Causality Analysis:**
**1. Temporal Plausibility**
The temporal relationship between the initiation of VEDOLIZUMAB and the onset of 'Drug ineffective' cannot be assessed. The 'Therapy Start' date is MISSING, which prevents the determination of the latency period leading up to the 'Event Date' of 15-May-2023. It is unknown if this represents a primary non-response (failure to achieve remission after starting therapy) or a secondary loss of response (ineffectiveness after an initial period of efficacy). Due to this critical missing information, temporal plausibility is indeterminate.
**2. Biological Plausibility**
The biological plausibility for VEDOLIZUMAB causing 'Drug ineffective' is high. Therapeutic ineffectiveness, either as primary non-response or secondary loss of response, is a well-documented and expected outcome in a subset of patients treated with biologic therapies for Crohn's disease. The provided literature supports this: a real-world study (PMID: 36432640) explicitly identifies "therapeutic ineffectiveness" as a key outcome, occurring in 17.3% of a studied IBD cohort that included patients on VEDOLIZUMAB. While another article (PMID: 40279047) shows VEDOLIZUMAB can be effective in refractory cases, this does not negate the fact that treatment failure is a known possibility for this drug and indication.
**3. Dechallenge/Rechallenge**
The dechallenge and rechallenge information is uninformative for this assessment.
*   **Dechallenge Result:** MISSING. A positive dechallenge is not applicable for an event of 'Drug ineffective', as stopping an ineffective drug would not lead to improvement of the event; the underlying Crohn's disease would persist or worsen.
*   **Rechallenge Result:** U (Unknown). There is no information on whether the patient was re-exposed to VEDOLIZUMAB.
**4. Objective Evidence**
Objective evidence from the provided literature confirms that 'Drug ineffective' is a recognized outcome with VEDOLIZUMAB. The pharmacovigilance study (PMID: 36432640) documents "therapeutic ineffectiveness" as a reason for therapy modification in IBD patients. Furthermore, the patient's case metadata includes a "History of Similar Reactions: Y". This suggests the 72-year-old male patient may have experienced treatment failure with other therapies for Crohn's disease in the past, which is a common occurrence in patients with a refractory disease course.
**5. Confounding Factors**
The primary confounding factor is the patient's underlying disease severity and history. The "History of Similar Reactions" suggests a potentially difficult-to-treat or refractory Crohn's disease phenotype. In this context, the lack of efficacy may be more attributable to the natural history and severity of the patient's illness rather than a specific failure of the drug itself. The absence of concurrent medications ("N/A: single drug") rules out confounding from drug-drug interactions that could have potentially reduced the efficacy of VEDOLIZUMAB.
**6. Synthesis and Final Assessment**
The assessment of causality is rated as **MEDIUM**. The event of 'Drug ineffective' is biologically plausible and a well-documented outcome for VEDOLIZUMAB in the treatment of Crohn's disease, as supported by literature (PMID: 36432640). However, significant uncertainty is introduced by two key factors. First, the temporal relationship cannot be established due to a missing therapy start date. Second, the patient's "History of Similar Reactions" presents a major confounding factor, suggesting the event could be a manifestation of a refractory disease state rather than a failure attributable solely to VEDOLIZUMAB. While the association is plausible, these data gaps and confounders prevent a rating of 'High'.
```
---</t>
  </si>
  <si>
    <t>Inappropriate schedule of product administration and product dose omission issue reported in the case represent plausible alternative explanations for lack of efficacy independent of vedolizumab exposure.</t>
  </si>
  <si>
    <t>Drug ineffective: Symptom - Drug ineffectiveness is typically reported by the patient or clinician based on subjective assessment of treatment response, rather than objective measurable evidence. It reflects the patient's experience or clinical judgment that the medication is not producing the expected therapeutic effect.</t>
  </si>
  <si>
    <t xml:space="preserve">Case ID: 223615844 
 Case Version: 4 
 FDA Code: F 
 Event Date: 20230515 
 Manufacture Date: 20250317 
 Initial FDA Date: 20230524 
 FDA Date: 20250324 
 Report Code: EXP 
 Authorization Number: NA 
 Manufacturer Number: US-TAKEDA-2023TUS049871 
 Manufacturer Sender: TAKEDA 
 Literature Reference: NA 
 Age: 72 
 Age Code: YR 
 Age Group: NA 
 Sex: M 
 E Sub: Y 
 Weight: NA 
 Weight Code: NA 
 Report Date: 20250324 
 To Manufacturer: NA 
 Occupation Code: NA 
 Reporter Country: US 
 Occurrence Country: US 
 Adverse Reaction(s): Drug ineffective ; Haemophilia ; Memory impairment ; Limb injury ; Off label use ; Injury ; Cerebrovascular accident 
 Case ID Number: 22361584 
 Drug Sequence: 1 ; 1 
 Role Code: PS ; PS 
 Drug Name: VEDOLIZUMAB ; VEDOLIZUMAB 
 Product AI: VEDOLIZUMAB ; VEDOLIZUMAB 
 Val VBM: 1 ; 1 
 Route: Intravenous use ; Intravenous use 
 Dose VBM: 300 milligram ; 300 milligram, q6weeks 
 Cumulative Dose (Char): NA ; NA 
 Cumulative Dose (Unit): NA ; NA 
 Dechal: NA ; NA 
 Rechal: U ; U 
 Lot Number: Unknown ; NA 
 Expiration Date: NA ; NA 
 NDA Number: 125476 ; 125476 
 Dose Amount: 300 ; 300 
 Dose Unit: MG ; MG 
 Dose Form: Powder for solution for infusion ; Powder for solution for infusion 
 Dose Frequency: NA ; NA 
 Indication for Use: Crohn's disease ; Crohn's disease 
 Therapy Start Date: NA ; NA 
 Therapy End Date: NA ; NA 
 Duration: NA ; NA 
 Duration Code: NA ; NA </t>
  </si>
  <si>
    <t>Disability</t>
  </si>
  <si>
    <t>## Pair Assessment: VEDOLIZUMAB vs Disability
**CrewAI Final Output:**
```
**Comprehensive Causality Assessment for Disability Associated with VEDOLIZUMAB**
**FINAL PLAUSIBILITY RATING:** LOW
**Detailed Causality Analysis:**
1.  **Temporal Plausibility**
    The temporal relationship between the administration of VEDOLIZUMAB and the onset of 'Disability' cannot be assessed. Key data points, including the Therapy Start Date and the Event Date, are MISSING from the case report. Without a known timeframe, it is impossible to establish a plausible temporal sequence, which is a critical component for determining causality. This lack of information significantly weakens any potential association.
2.  **Biological Plausibility**
    The biological plausibility for VEDOLIZUMAB causing 'Disability' is low. Vedolizumab's mechanism of action is highly specific; it is a gut-selective monoclonal antibody that targets the α4β7 integrin, preventing inflammatory lymphocyte migration into the gastrointestinal tract. This targeted action is designed to minimize systemic immunosuppression. There is no known mechanism by which this gut-selective anti-inflammatory action would induce a generalized state of 'Disability'. Furthermore, the provided clinical evidence summary explicitly describes vedolizumab as a treatment for severe and *disabling* conditions, such as refractory Inflammatory Bowel Disease (IBD) and immune checkpoint inhibitor-induced colitis. Therefore, the drug's therapeutic intent is to reduce or manage disability, not cause it.
3.  **Dechallenge/Rechallenge**
    The effects of dechallenge and rechallenge are unknown. The case report explicitly states the Dechallenge Result is 'U' (Unknown) and the Rechallenge Result is 'U' (Unknown). Consequently, these powerful tools for causality assessment cannot be used to support or refute a causal link between VEDOLIZUMAB and the reported event.
4.  **Objective Evidence**
    The report lacks objective evidence to support a causal link. 'Disability' is a broad and non-specific term that could represent the progression of an underlying disease, a social outcome, or a new medical event. No specific clinical or diagnostic data (e.g., EDSS score, functional assessments) were provided to characterize the nature of the disability. The patient, a female from the US, has a reported history of similar reactions ('Y'), which strongly suggests a pre-existing or recurrent condition consistent with the term 'Disability'.
5.  **Confounding Factors**
    The most significant confounding factor is the underlying disease for which VEDOLIZUMAB was prescribed. Although the indication is listed as 'unknown', vedolizumab is primarily used for moderate to severe IBD (Crohn's disease and ulcerative colitis), which are well-recognized as chronic, progressive, and disabling conditions. It is highly probable that the reported 'Disability' is a manifestation or worsening of the patient's underlying inflammatory disease rather than an adverse effect of the treatment. The patient's positive history of similar reactions ('Y') further strengthens the likelihood that the disability is attributable to her underlying pathology. The absence of concurrent medications simplifies the assessment by ruling out other drug-related causes.
6.  **Synthesis and Final Assessment**
    The overall evidence against a causal relationship between VEDOLIZUMAB and 'Disability' is strong. There is no temporal information to suggest an association. The drug's gut-selective mechanism of action and its established clinical use in treating disabling diseases make it an unlikely cause. Key causality metrics, dechallenge and rechallenge, are unknown. The most compelling explanation is that the reported 'Disability' is a feature of the patient's underlying condition, a conclusion strongly supported by the known indications for vedolizumab and the patient's history of similar reactions. Therefore, the causal role of VEDOLIZUMAB in the reported event of 'Disability' is assessed as having LOW plausibility.
```
---</t>
  </si>
  <si>
    <t>Cerebrovascular accident and limb injury reported concurrently in the case represent plausible alternative explanations for disability independent of vedolizumab exposure.</t>
  </si>
  <si>
    <t>Disability: Symptom - Disability is a subjective experience that reflects a patient's self-reported limitation in performing activities or participating in life situations, often assessed through patient-reported outcomes rather than objective measurement.</t>
  </si>
  <si>
    <t xml:space="preserve">Disability: Sign - Disability is typically assessed through objective measures such as functional impairment scales or clinical observation, making it a sign. </t>
  </si>
  <si>
    <t>Case ID: 223656912 
 Case Version: 2 
 FDA Code: F 
 Event Date: NA 
 Manufacture Date: 20250305 
 Initial FDA Date: 20230525 
 FDA Date: 20250311 
 Report Code: EXP 
 Authorization Number: NA 
 Manufacturer Number: US-TAKEDA-2023TUS049950 
 Manufacturer Sender: TAKEDA 
 Literature Reference: NA 
 Age: NA 
 Age Code: NA 
 Age Group: NA 
 Sex: F 
 E Sub: Y 
 Weight: NA 
 Weight Code: NA 
 Report Date: 20250311 
 To Manufacturer: NA 
 Occupation Code: NA 
 Reporter Country: US 
 Occurrence Country: US 
 Adverse Reaction(s): Product dose omission issue ; Fear of disease ; Therapeutic reaction time decreased ; Disability ; Inappropriate schedule of product administration 
 Case ID Number: 22365691 
 Drug Sequence: 1 
 Role Code: PS 
 Drug Name: VEDOLIZUMAB 
 Product AI: VEDOLIZUMAB 
 Val VBM: 1 
 Route: Intravenous use 
 Dose VBM: 300 milligram 
 Cumulative Dose (Char): NA 
 Cumulative Dose (Unit): NA 
 Dechal: U 
 Rechal: U 
 Lot Number: Unknown 
 Expiration Date: NA 
 NDA Number: 125476 
 Dose Amount: 300 
 Dose Unit: MG 
 Dose Form: Powder for solution for infusion 
 Dose Frequency: NA 
 Indication for Use: Product used for unknown indication 
 Therapy Start Date: NA 
 Therapy End Date: NA 
 Duration: NA 
 Duration Code: NA</t>
  </si>
  <si>
    <t>TIKOSYN</t>
  </si>
  <si>
    <t>## Pair Assessment: TIKOSYN vs Visual impairment
**CrewAI Final Output:**
```
**Comprehensive Causality Assessment for Visual impairment Associated with TIKOSYN**
**FINAL PLAUSIBILITY RATING:** LOW
**Detailed Causality Analysis:**
1.  **Temporal Plausibility**
    The temporal relationship between the administration of TIKOSYN and the onset of 'Visual impairment' cannot be established. The therapy start date is documented as 20240830, but the 'Event Date' is marked as MISSING. Without a date for the adverse event, it is impossible to determine if the event occurred after the drug was initiated, which is a fundamental criterion for assessing causality. This represents a significant weakness in the case.
2.  **Biological Plausibility**
    The biological plausibility for TIKOSYN causing visual impairment is low. According to the provided summary, TIKOSYN's mechanism of action is a selective blockade of the I_Kr potassium current in cardiac myocytes. While potassium channels are present in the nervous system and retina, there is no established mechanism linking the specific blockade of I_Kr to visual pathology. Furthermore, the literature search of the PubMed database for 'TIKOSYN' and 'Visual impairment' yielded zero articles, indicating a lack of published scientific evidence to support this association. The FDA-approved prescribing information also does not list visual impairment as a known adverse reaction.
3.  **Dechallenge/Rechallenge**
    The information regarding dechallenge and rechallenge does not support a causal link.
    *   **Dechallenge:** The result is 'U' (Unknown). This means it is not known if the drug was stopped or, if it was, whether the visual impairment improved, resolved, or remained unchanged. An unknown dechallenge provides no information to support or refute causality.
    *   **Rechallenge:** The result is 'MISSING'. There is no information to suggest the patient was re-exposed to TIKOSYN after a potential discontinuation. A positive rechallenge is a strong indicator of causality, and its absence here means this criterion is not met.
4.  **Objective Evidence**
    There is a lack of objective evidence to support the reported association. The case is based on a single report with no supporting clinical data, such as ophthalmological examination results, diagnostic imaging, or lab tests. The literature search was negative (0 articles found, no PMIDs available), failing to provide any external validation from clinical trials, case series, or other case reports.
5.  **Confounding Factors**
    Several significant confounding factors are present that could provide an alternative explanation for the event:
    *   **Patient Age:** The patient is 79 years old. Advanced age is a primary risk factor for numerous conditions causing visual impairment, such as age-related macular degeneration, cataracts, and glaucoma.
    *   **History of Similar Reactions:** The case notes a 'Y' for "History of Similar Reactions." This strongly suggests the patient has experienced similar episodes in the past, pointing towards a pre-existing or recurrent underlying condition independent of TIKOSYN therapy.
    *   **Concurrent Medications:** While no concurrent medications were listed, the patient's underlying indication for TIKOSYN (MISSING, but likely an arrhythmia) may be associated with other systemic diseases (e.g., hypertension, diabetes) that are known causes of visual impairment.
6.  **Synthesis and Final Assessment**
    The overall evidence for a causal relationship between TIKOSYN and 'Visual impairment' is very weak. The assessment is severely limited by a missing event date, which prevents the establishment of a temporal link. There is no known biological mechanism, and a literature search yielded no supporting evidence. The dechallenge was uninformative ('Unknown'), and no rechallenge was performed. Most importantly, strong confounding factors exist, including the patient's advanced age (79) and a documented history of similar reactions, which strongly suggest an alternative etiology. Given the complete lack of supporting evidence and the presence of plausible alternative causes, the causality is rated as LOW.
```
---</t>
  </si>
  <si>
    <t>Advanced age (79 years) and concurrent medication-use/process errors may plausibly contribute to visual impairment independent of Tikosyn exposure.</t>
  </si>
  <si>
    <t xml:space="preserve">Visual impairment  Case ID: Symptom - Visual impairment is a subjective experience reported by the patient regarding reduced vision, not an objective measurement like visual acuity testing or fundoscopic findings.
</t>
  </si>
  <si>
    <t xml:space="preserve">Case ID: 225958262 
 Case Version: 2 
 FDA Code: F 
 Event Date: NA 
 Manufacture Date: 20250114 
 Initial FDA Date: 20230613 
 FDA Date: 20250117 
 Report Code: PER 
 Authorization Number: NA 
 Manufacturer Number: US-PFIZER INC-PV202300104123 
 Manufacturer Sender: PFIZER 
 Literature Reference: NA 
 Age: 79 
 Age Code: YR 
 Age Group: NA 
 Sex: M 
 E Sub: Y 
 Weight: 81.633 
 Weight Code: KG 
 Report Date: 20250117 
 To Manufacturer: NA 
 Occupation Code: CN 
 Reporter Country: US 
 Occurrence Country: US 
 Adverse Reaction(s): Wrong technique in product usage process ; Product dispensing error ; Visual impairment 
 Case ID Number: 22595826 
 Drug Sequence: 1 ; 2 
 Role Code: PS ; SS 
 Drug Name: TIKOSYN ; TIKOSYN 
 Product AI: TIKOSYN ; TIKOSYN 
 Val VBM: 1 ; 1 
 Route: Oral ; NA 
 Dose VBM: Take 1 capsule (250 mcg total) by mouth every 12 hours ; 0.5 DF (250 ug) 
 Cumulative Dose (Char): NA ; NA 
 Cumulative Dose (Unit): NA ; NA 
 Dechal: U ; U 
 Rechal: NA ; NA 
 Lot Number: NA ; NA 
 Expiration Date: NA ; NA 
 NDA Number: 20931 ; 20931 
 Dose Amount: 250 ; NA 
 Dose Unit: UG ; NA 
 Dose Form: Capsule, hard ; Capsule, hard 
 Dose Frequency: BID ; NA 
 Indication for Use:  ;  ;  
 Therapy Start Date: 20240830 ; NA 
 Therapy End Date: NA ; NA 
 Duration: NA ; NA 
 Duration Code: NA ; NA </t>
  </si>
  <si>
    <t>FINASTERIDE</t>
  </si>
  <si>
    <t>## Pair Assessment: FINASTERIDE vs Product use issue
**CrewAI Final Output:**
```
**Comprehensive Causality Assessment for Product use issue Associated with FINASTERIDE**
**FINAL PLAUSIBILITY RATING:** MEDIUM
**Detailed Causality Analysis:**
**1. Temporal Plausibility**
The temporal relationship is suggestive but weakened by missing data. The patient, a 29-year-old male, experienced the event during a long-term treatment course of 6 years with Finasteride. The absence of specific dates for therapy start and event onset prevents a precise latency calculation. However, the most significant factor supporting temporal plausibility is the patient's reported 'History of Similar Reactions: Y'. This suggests a recurring pattern of reaction upon exposure to the drug, making a coincidental occurrence less likely. The long duration of therapy is also consistent with the development of persistent syndromes as described in the literature.
**2. Biological Plausibility**
There is strong biological plausibility for this association. Finasteride is a 5α-reductase inhibitor, a class of drugs known to interfere with androgen metabolism, which is fundamental to male sexual function. The provided literature (PMID: 29733030) explicitly describes a "post-finasteride syndrome" (PFS) characterized by enduring sexual dysfunction, including symptoms like genital anaesthesia, pleasureless orgasm, loss of libido, and impotence. Although the reported event 'Product use issue' is non-specific, it is highly likely to represent this well-documented syndrome. The drug's mechanism of action is directly linked to the physiological systems governing the functions described in the supporting clinical evidence.
**3. Dechallenge/Rechallenge**
The information regarding dechallenge and rechallenge is uninformative for this assessment. The dechallenge result is 'U' (Unknown), meaning the outcome after stopping Finasteride was not reported or was not yet known at the time of the report. This provides neither positive nor negative evidence for causality. Rechallenge information is 'MISSING'. Therefore, this criterion cannot be used to support or refute the causal link.
**4. Objective Evidence**
The evidence for this case is based on a subjective, spontaneous report from a reporter in Spain (ES). The adverse event term 'Product use issue' is vague and lacks clinical detail. No objective clinical or diagnostic data (e.g., lab results, physical examination findings) were provided to substantiate the event. However, the clinical evidence summary (PMID: 29733030) provides external support by documenting a consistent pattern of similar subjective reports from a large cohort of patients, lending credibility to the existence of such a syndrome.
**5. Confounding Factors**
The likelihood of confounding factors is low. The patient was reportedly taking Finasteride as a single drug ('Concurrent Medications: N/A'), which eliminates the possibility of drug-drug interactions or alternative drug causes. The indication, androgenetic alopecia, is not an independent cause of the sexual dysfunction described. While other underlying medical or psychological conditions cannot be entirely ruled out without a full medical history, the patient's 'History of Similar Reactions: Y' strongly points towards a specific reaction to an exposure, likely the suspect drug, rather than an unrelated confounding condition.
**6. Synthesis and Final Assessment**
This case presents a probable causal association between Finasteride and the reported 'Product use issue', interpreted as sexual dysfunction. The primary strengths of the assessment are the strong biological plausibility, supported by the drug's mechanism and literature evidence (PMID: 29733030), and the patient's history of similar reactions, which is a powerful indicator of drug-related causality. The absence of concurrent medications minimizes the role of confounders. However, the assessment is limited by significant data gaps, including the non-specific event term, the lack of a clear temporal sequence with specific dates, and an unknown dechallenge outcome. These weaknesses prevent a definitive conclusion. Therefore, the causality is assessed as **MEDIUM**, indicating a probable relationship where the evidence is suggestive but not conclusive.
```
---</t>
  </si>
  <si>
    <t>Product use issue Case ID: Symptom - Product use issue refers to problems with how a product is used, which is typically reported by the patient or caregiver as a subjective experience rather than an objective, measurable finding.</t>
  </si>
  <si>
    <t>Product use issue: Sign - Product use issue is an observable event related to how a product is used, not a subjective patient experience.</t>
  </si>
  <si>
    <t xml:space="preserve">Case ID: 226140432 
 Case Version: 2 
 FDA Code: F 
 Event Date: NA 
 Manufacture Date: 20250511 
 Initial FDA Date: 20230619 
 FDA Date: 20250521 
 Report Code: EXP 
 Authorization Number: NA 
 Manufacturer Number: ES-AUROBINDO-AUR-APL-2023-042187 
 Manufacturer Sender: AUROBINDO 
 Literature Reference: Sainz Ramirez, Maria; Garcia Robles, Ruben; Salguero Molpeceres, Oliver Luis.. Phosphodiesterase inhibitors in androgenic alopecia as a possible risk factor for testicular tumor. Med.cl?n (Ed.impr.).. 2023;160:415-419 
 Age: 29 
 Age Code: YR 
 Age Group: NA 
 Sex: M 
 E Sub: Y 
 Weight: NA 
 Weight Code: NA 
 Report Date: 20250521 
 To Manufacturer: NA 
 Occupation Code: MD 
 Reporter Country: ES 
 Occurrence Country: ES 
 Adverse Reaction(s): Product use in unapproved indication ; Testicular germ cell tumour mixed ; Testicular cyst ; Product use issue 
 Case ID Number: 22614043 
 Drug Sequence: 1 
 Role Code: PS 
 Drug Name: FINASTERIDE 
 Product AI: FINASTERIDE 
 Val VBM: 1 
 Route: Unknown 
 Dose VBM: 1 milligram, Once a Day, 6 years treatment 
 Cumulative Dose (Char): NA 
 Cumulative Dose (Unit): NA 
 Dechal: U 
 Rechal: NA 
 Lot Number: NA 
 Expiration Date: NA 
 NDA Number: 78341 
 Dose Amount: 1 
 Dose Unit: MG 
 Dose Form: NA 
 Dose Frequency: QD 
 Indication for Use: Androgenetic alopecia 
 Therapy Start Date: NA 
 Therapy End Date: NA 
 Duration: NA 
 Duration Code: NA </t>
  </si>
  <si>
    <t>## Pair Assessment: FINASTERIDE vs Product use issue
**CrewAI Final Output:**
```
**Comprehensive Causality Assessment for Product use issue Associated with FINASTERIDE**
**FINAL PLAUSIBILITY RATING:** MEDIUM
**Detailed Causality Analysis:**
1.  **Temporal Plausibility**
    The case data lacks critical temporal information, as the Event Date, Therapy Start, and Therapy End are all marked as 'MISSING'. While the patient was on a long-term therapy of four years, the absence of an event onset date makes it impossible to establish a definitive temporal relationship between the initiation of FINASTERIDE and the onset of the 'Product use issue'. Therefore, temporal plausibility cannot be confirmed from the available case details.
2.  **Biological Plausibility**
    There is strong biological plausibility for this association based on the provided literature. The summary of PMID: 29733030 describes Post-Finasteride Syndrome (PFS), a condition of enduring sexual dysfunction linked to the use of 5α-reductase inhibitors like FINASTERIDE. The reported clinical features of PFS, such as genital anaesthesia, pleasureless orgasm, loss of libido, and impotence, are consistent with the likely nature of a 'Product use issue' of this type. The mechanism, while not fully elucidated, is linked to finasteride's action as a 5α-reductase inhibitor. This established syndrome in medical literature provides a strong basis for plausibility.
3.  **Dechallenge/Rechallenge**
    The effect of drug withdrawal (dechallenge) is unknown (Dechallenge Result: U), and there is no information on re-exposure (Rechallenge Result: MISSING). Consequently, these powerful criteria for causality assessment cannot be applied in this case. The literature (PMID: 29733030) notes that the sexual difficulties associated with PFS are characterized by their persistence *after* discontinuing the medication, which may render a positive dechallenge (symptom resolution) less likely.
4.  **Objective Evidence**
    The primary evidence supporting this association is from the provided literature summary (PMID: 29733030), which details a case series analysis of 300 patient reports. This study identifies a "legacy syndrome" of enduring sexual dysfunction following treatment with finasteride. While this is based on patient-reported data rather than a controlled clinical trial, it represents a significant safety signal and a recognized clinical entity (PFS) in pharmacovigilance.
5.  **Confounding Factors**
    Several factors must be considered:
    *   **Concurrent Medications:** The patient was reportedly taking no concurrent medications, which eliminates the possibility of confounding from other drugs or drug-drug interactions.
    *   **Patient History:** The patient has a 'History of Similar Reactions: Y'. This is a significant potential confounder. If the patient experienced similar issues of sexual dysfunction prior to starting FINASTERIDE, it would substantially weaken the causal link. The ambiguity of this data point prevents a definitive conclusion but introduces a major element of doubt.
    *   **Underlying Condition:** The indication, androgenetic alopecia, is not known to be an independent cause of sexual dysfunction.
6.  **Synthesis and Final Assessment**
    The assessment presents a mixed picture. The biological plausibility is strong, supported by literature (PMID: 29733030) describing Post-Finasteride Syndrome, a known risk associated with FINASTERIDE. The absence of confounding medications also strengthens the potential association. However, the case-specific evidence is weak. There is a complete lack of temporal data, and the dechallenge result is unknown. Most importantly, the patient's 'History of Similar Reactions' introduces a significant potential confounding factor that cannot be resolved with the available information. Balancing the strong literature-based plausibility against the weak, confounded case-specific data, the causality is assessed as **MEDIUM**.
```
---</t>
  </si>
  <si>
    <t xml:space="preserve">Product use issue: Symptom - Product use issue refers to problems with how a product is used, such as incorrect administration, dosing errors, or device misuse, which are typically reported by patients or caregivers rather than objectively measured by clinicians. </t>
  </si>
  <si>
    <t>Case ID: 226171673 
 Case Version: 3 
 FDA Code: F 
 Event Date: NA 
 Manufacture Date: 20250511 
 Initial FDA Date: 20230620 
 FDA Date: 20250521 
 Report Code: EXP 
 Authorization Number: NA 
 Manufacturer Number: ES-AUROBINDO-AUR-APL-2023-042160 
 Manufacturer Sender: AUROBINDO 
 Literature Reference: Sainz Ramirez, Maria; Garcia Robles, Ruben; Salguero Molpeceres, Oliver Luis. Phosphodiesterase inhibitors in androgenic alopecia as a possible risk factor for testicular tumor. Med.cl?n (Ed.impr.). 2023;160:415-419 
 Age: 25 
 Age Code: YR 
 Age Group: NA 
 Sex: M 
 E Sub: Y 
 Weight: NA 
 Weight Code: NA 
 Report Date: 20250521 
 To Manufacturer: NA 
 Occupation Code: MD 
 Reporter Country: ES 
 Occurrence Country: ES 
 Adverse Reaction(s): Product use issue ; Seminoma ; Product use in unapproved indication ; Testicular cyst 
 Case ID Number: 22617167 
 Drug Sequence: 1 
 Role Code: PS 
 Drug Name: FINASTERIDE 
 Product AI: FINASTERIDE 
 Val VBM: 1 
 Route: Unknown 
 Dose VBM: 1 milligram, Once a Day (four years) 
 Cumulative Dose (Char): NA 
 Cumulative Dose (Unit): NA 
 Dechal: U 
 Rechal: NA 
 Lot Number: NA 
 Expiration Date: NA 
 NDA Number: 78341 
 Dose Amount: 1 
 Dose Unit: MG 
 Dose Form: NA 
 Dose Frequency: QD 
 Indication for Use: Androgenetic alopecia 
 Therapy Start Date: NA 
 Therapy End Date: NA 
 Duration: NA 
 Duration Code: NA</t>
  </si>
  <si>
    <t>SIPONIMOD</t>
  </si>
  <si>
    <t>## Pair Assessment: SIPONIMOD vs Visual impairment
**CrewAI Final Output:**
```
**Comprehensive Causality Assessment for Visual impairment Associated with SIPONIMOD**
**FINAL PLAUSIBILITY RATING:** LOW
**Detailed Causality Analysis:**
**1. Temporal Plausibility**
The temporal relationship between the administration of SIPONIMOD and the onset of 'Visual impairment' is not plausible. According to the case metadata, the adverse event occurred on 19-JUL-2023, while the therapy with SIPONIMOD was initiated on 05-OCT-2023. The event predates the drug's first dose by nearly three months. This negative temporality is the strongest evidence against a causal association in this specific case.
**2. Biological Plausibility**
The biological plausibility is complex. SIPONIMOD, as a sphingosine-1-phosphate (S1P) receptor modulator, has a known, albeit low, risk of causing macular edema, a specific condition that leads to visual impairment. The literature summary notes an incidence of 1.7% in the EXPAND trial. Therefore, a mechanism for SIPONIMOD to cause visual impairment exists and is documented. However, the drug's primary mechanism of action in Multiple Sclerosis (MS) is to prevent inflammatory events (like optic neuritis) and slow neurodegeneration, both of which are major causes of visual impairment in this patient population. While a causal link is biologically possible for the drug class, the negative temporality in this case negates this consideration.
**3. Dechallenge/Rechallenge**
The results for both dechallenge and rechallenge are reported as 'MISSING'. Consequently, no information can be drawn from these criteria to support or refute a causal relationship.
**4. Objective Evidence**
The case report lacks objective clinical evidence, such as ophthalmologic examination findings, visual acuity measurements, or Optical Coherence Tomography (OCT) results, to characterize the 'Visual impairment'. The literature provides objective evidence from the EXPAND trial that SIPONIMOD carries a risk of macular edema. However, the most compelling objective evidence in this specific case is the documented event date (20230719) and therapy start date (20231005), which objectively demonstrates the event preceded drug exposure.
**5. Confounding Factors**
There are significant confounding factors that provide a strong alternative explanation for the event:
*   **Underlying Disease:** The patient's indication for SIPONIMOD is Secondary Progressive Multiple Sclerosis (SPMS). SPMS is a primary and common cause of progressive visual impairment due to chronic optic neuropathy, demyelination, and neuroaxonal loss within the visual pathways.
*   **History of Similar Reactions:** The case notes a 'History of Similar Reactions: Y'. This strongly suggests that the patient has experienced visual impairment previously, which is highly consistent with the natural history of their underlying SPMS. This history, combined with the event date, points towards the event being a manifestation of the disease itself rather than a drug-induced effect.
**6. Synthesis and Final Assessment**
The assessment of causality for SIPONIMOD causing 'Visual impairment' in this case is **LOW**. The conclusion is driven by the definitive negative temporal relationship; the event occurred nearly three months before the patient started taking the drug. This fact alone makes a causal association highly improbable. Furthermore, the patient's underlying disease (SPMS) and a reported history of similar reactions provide a compelling and highly plausible alternative cause for the visual impairment. While SIPONIMOD has a known biological mechanism to cause macular edema, this general risk is irrelevant in a case where drug exposure had not yet occurred. Therefore, the event is most likely attributable to the progression of the patient's underlying medical condition.
```
---</t>
  </si>
  <si>
    <t>Cataract and optic nerve injury reported concurrently may plausibly contribute to visual impairment independent of Siponimod exposure.</t>
  </si>
  <si>
    <t xml:space="preserve">Case ID: 226551694 
 Case Version: 4 
 FDA Code: F 
 Event Date: 20230719 
 Manufacture Date: 20250314 
 Initial FDA Date: 20230629 
 FDA Date: 20250319 
 Report Code: EXP 
 Authorization Number: NA 
 Manufacturer Number: NVSC2023GB147751 
 Manufacturer Sender: NOVARTIS 
 Literature Reference: NA 
 Age: NA 
 Age Code: NA 
 Age Group: NA 
 Sex: F 
 E Sub: Y 
 Weight: NA 
 Weight Code: NA 
 Report Date: 20250319 
 To Manufacturer: NA 
 Occupation Code: CN 
 Reporter Country: GB 
 Occurrence Country: GB 
 Adverse Reaction(s): Pain ; Cataract ; Visual impairment ; Optic nerve injury ; Tooth loss ; Gingivitis 
 Case ID Number: 22655169 
 Drug Sequence: 2 ; 1 
 Role Code: SS ; PS 
 Drug Name: SIPONIMOD ; SIPONIMOD 
 Product AI: SIPONIMOD ; SIPONIMOD 
 Val VBM: 1 ; 1 
 Route: Oral ; Oral 
 Dose VBM: 2 mg, QD ; 2 mg, QD 
 Cumulative Dose (Char): NA ; NA 
 Cumulative Dose (Unit): NA ; NA 
 Dechal: NA ; NA 
 Rechal: NA ; NA 
 Lot Number: NA ; NA 
 Expiration Date: NA ; NA 
 NDA Number: 209884 ; 209884 
 Dose Amount: 2 ; 2 
 Dose Unit: MG ; MG 
 Dose Form: Tablet ; Tablet 
 Dose Frequency: QD ; QD 
 Indication for Use: Secondary progressive multiple sclerosis ; Secondary progressive multiple sclerosis ;  ;  
 Therapy Start Date: 20231005 ; 20230330 
 Therapy End Date: NA ; NA 
 Duration: NA ; NA 
 Duration Code: NA ; NA </t>
  </si>
  <si>
    <t>ICATIBANT</t>
  </si>
  <si>
    <t>## Pair Assessment: ICATIBANT vs Product use issue
*CrewAI Final Output:*
**Comprehensive Causality Assessment for Product use issue Associated with ICATIBANT**
**FINAL PLAUSIBILITY RATING:** MEDIUM
**Detailed Causality Analysis:**
**1. Temporal Plausibility**
The Therapy Start Date is recorded as missing (NA). While the Event Date is documented as 2023-03-14, a true Time-to-Onset (TTO) cannot be established because the exact date of initial drug exposure is unknown. Consequently, a direct chronological sequence relative to treatment initiation cannot be formally verified. However, the presence of a specific Event Date confirms that the administration issue and clinical events occurred on a documented date.
**2. Biological Plausibility**
Icatibant is a selective bradykinin B2 receptor antagonist indicated for acute attacks of hereditary angioedema (HAE). 
*   **Administration &amp; Pediatric Dosing:** Icatibant is supplied as a single-use pre-filled syringe (30 mg/3 mL). In pediatric patients (this case involves a 7-year-old female weighing 20 kg), dosing is strictly weight-based (15 mg / 1.5 mL for patients weighing 12 kg to 25 kg). Attempting to administer a weight-adjusted dose from a fixed adult pre-filled syringe directly accounts for the reported **Incorrect dose administered** and **Product use issue**.
*   **Trauma-Related Events:** The reported adverse events include **Fall**, **Upper limb fracture**, **Nasal injury**, **Epistaxis**, **Rhinalgia**, and **Nasal inflammation**. Physical trauma from a fall (causing a nasal injury and bone fracture) provides a direct mechanical explanation for the nosebleed, nasal pain, and swelling. There is no known physiological mechanism by which Icatibant causes accidental falls or skeletal fractures.
*   **Unrelated Diagnoses:** Conditions such as **Gastroenteritis** and **Ovarian cyst** lack biological plausibility relative to acute B2 receptor blockade and represent concurrent or incidental findings.
**3. Dechallenge/Rechallenge**
The causality assessment is limited by uninformative dechallenge and rechallenge parameters.
*   **Dechallenge Result:** NOT APPLICABLE (NA). Icatibant is administered on an acute, as-needed basis for discrete HAE attacks rather than as continuous maintenance therapy, rendering standard dechallenge non-applicable.
*   **Rechallenge Result:** UNKNOWN (U). No data exists regarding subsequent administrations or whether dosing errors recurred during future attacks.
**4. Objective Evidence**
The primary evidence relies on this single spontaneous case report (Manufacturer Case ID: CO-TAKEDA-2023TUS029088). Clinical trial and post-marketing data for Icatibant establish that pediatric dosing errors and product use difficulties are recognized administration challenges due to the requirement of manual dose measurement from single-use syringes. Physical trauma (fractures, falls) is not an established adverse drug reaction in official product labeling.
**5. Confounding Factors**
Significant confounding factors and alternative etiologies are present:
*   **Pediatric Administration Complexity:** The patient is a 7-year-old child (20 kg). Administering a weight-based dose from a standard adult pre-filled syringe carries a high intrinsic risk of dosing errors (**Incorrect dose administered**) without specialized preparation or care.
*   **Accidental Physical Trauma:** The cluster of events comprising Fall, Upper limb fracture, Nasal injury, Rhinalgia, Nasal inflammation, and Epistaxis is fully explained by an acute mechanical accident/fall, presenting a clear alternative cause unrelated to drug pharmacology.
*   **Underlying Indication:** The patient suffers from Hereditary Angioedema (HAE), an underlying condition characterized by unpredictable episodic edema.
**6. Synthesis and Final Assessment**
The case presents two distinct clinical components: administration errors and physical trauma. The **Product use issue** and **Incorrect dose administered** are biologically and clinically plausible given the practical challenges of measuring a 15 mg pediatric dose (for a 20 kg patient) from a standard 30 mg Icatibant pre-filled syringe. Conversely, the traumatic injuries (fall, fracture, nasal trauma) are completely independent of Icatibant's pharmacology and are fully explained by an accidental fall. 
Although the missing Therapy Start Date prevents a formal Time-to-Onset calculation, the clear biological vulnerability to pediatric dosing errors supports assessing the causality for **Product use issue** in connection with ICATIBANT therapy as **MEDIUM**.</t>
  </si>
  <si>
    <t>Product use issue: Symptom - Product use issue refers to problems with how a product is used, such as incorrect administration or misunderstanding of instructions, which are typically reported subjectively by patients or caregivers rather than being objectively measurable clinical findings.</t>
  </si>
  <si>
    <t xml:space="preserve">Case ID: 229933175 
 Case Version: 5 
 FDA Code: F 
 Event Date: 20230314 
 Manufacture Date: 20250214 
 Initial FDA Date: 20230927 
 FDA Date: 20250219 
 Report Code: PER 
 Authorization Number: NA 
 Manufacturer Number: CO-TAKEDA-2023TUS029088 
 Manufacturer Sender: TAKEDA 
 Literature Reference: NA 
 Age: 7 
 Age Code: YR 
 Age Group: NA 
 Sex: F 
 E Sub: Y 
 Weight: 20 
 Weight Code: KG 
 Report Date: 20250219 
 To Manufacturer: NA 
 Occupation Code: NA 
 Reporter Country: CO 
 Occurrence Country: CO 
 Adverse Reaction(s): Nasal injury ; Upper limb fracture ; Nasal inflammation ; Gastroenteritis ; Incorrect dose administered ; Ovarian cyst ; Rhinalgia ; Epistaxis ; Product use issue ; Fall 
 Case ID Number: 22993317 
 Drug Sequence: 1 ; 1 
 Role Code: PS ; PS 
 Drug Name: ICATIBANT ; ICATIBANT 
 Product AI: ICATIBANT ; ICATIBANT 
 Val VBM: 1 ; 1 
 Route: Subcutaneous use ; Subcutaneous use 
 Dose VBM: 1 dosage form ; UNK 
 Cumulative Dose (Char): NA ; NA 
 Cumulative Dose (Unit): NA ; NA 
 Dechal: NA ; NA 
 Rechal: U ; U 
 Lot Number: NA ; NA 
 Expiration Date: NA ; NA 
 NDA Number: 22150 ; 22150 
 Dose Amount: NA ; NA 
 Dose Unit: NA ; NA 
 Dose Form: Solution for injection ; Solution for injection 
 Dose Frequency: NA ; NA 
 Indication for Use: Hereditary angioedema ; Hereditary angioedema 
 Therapy Start Date: NA ; NA 
 Therapy End Date: NA ; NA 
 Duration: NA ; NA 
 Duration Code: NA ; NA </t>
  </si>
  <si>
    <t>Intentional device misuse</t>
  </si>
  <si>
    <t>GENOTROPIN</t>
  </si>
  <si>
    <t>## Pair Assessment: GENOTROPIN vs Intentional device misuse
**CrewAI Final Output:**
```
**Comprehensive Causality Assessment for Intentional device misuse Associated with GENOTROPIN**
**FINAL PLAUSIBILITY RATING:** LOW
**Detailed Causality Analysis:**
**1. Temporal Plausibility**
The temporal relationship between the initiation of GENOTROPIN and the event of 'Intentional device misuse' cannot be assessed. Key data points, including the Event Date, Therapy Start Date, and Therapy End Date, are all 'MISSING' from the case report. Without this information, it is impossible to establish a reasonable time-to-onset or determine if the event occurred during the period of drug administration. This lack of temporal evidence significantly weakens the case for a causal association.
**2. Biological Plausibility**
There is no biological plausibility for GENOTROPIN causing the event 'Intentional device misuse'. The mechanism of action of GENOTROPIN (somatropin) is to stimulate skeletal and cellular growth by binding to growth hormone receptors. 'Intentional device misuse' is a behavioral event, not a pharmacological or physiological adverse reaction that can be explained by the drug's known mechanism. The provided literature search for "GENOTROPIN AND Intentional device misuse" yielded **0 articles** (no PMIDs available), indicating a lack of any scientific evidence to support a plausible link. Furthermore, the patient is 5 years old, making it highly improbable that the patient herself is intentionally misusing the device for reasons like performance enhancement. The event is more likely attributable to the actions of a caregiver.
**3. Dechallenge/Rechallenge**
The information regarding dechallenge and rechallenge does not support causality. The dechallenge result is marked as 'U' (Unknown), meaning it is not known if the misuse ceased upon discontinuation of the drug. The rechallenge result is 'MISSING', so there is no information on whether the event recurred upon re-administration of GENOTROPIN. This absence of data provides no evidence to strengthen the causal link.
**4. Objective Evidence**
The only evidence provided is the reporter's term 'Intentional device misuse'. There is no objective, clinical, or diagnostic evidence to support the report. The literature summary explicitly states that a targeted search yielded **0 articles**, demonstrating a lack of published evidence in the medical literature to support an association between GENOTROPIN and this specific event.
**5. Confounding Factors**
Significant confounding factors strongly suggest an alternative explanation.
*   **Patient Behavior/Caregiver Action:** By definition, 'Intentional device misuse' is a volitional act. The cause of this event is the intent and action of the person administering the drug, not a pharmacological effect of the drug itself. Given the patient's age of 5, the misuse was necessarily performed by a parent or caregiver.
*   **History of Similar Reactions:** The case metadata explicitly states 'Y' for "History of Similar Reactions". This is a critical factor, indicating a pre-existing pattern of behavior by the caregiver that is independent of the drug's properties. This history strongly points to user error or deliberate action as the root cause, rather than a drug-induced effect.
*   **Concurrent Medications:** No confounding by other medications is present, as this was a single-drug case.
**6. Synthesis and Final Assessment**
The assessment of causality for GENOTROPIN causing 'Intentional device misuse' is **LOW**. This conclusion is based on a complete lack of supporting evidence across all standard causality criteria. There is no established temporal relationship, and the event is not biologically plausible as a drug-induced adverse reaction. Dechallenge and rechallenge information is uninformative. Most importantly, the nature of the event itself—an intentional action—and the documented history of similar occurrences point directly to caregiver behavior as the cause. While the GENOTROPIN device was the subject of the misuse, there is no evidence to suggest the drug substance caused the behavior. Therefore, the association is considered coincidental rather than causal.
```
---</t>
  </si>
  <si>
    <t>Intentional device misuse   Case ID: Symptom - Intentional device misuse involves deliberate actions by a patient, which are subjective behaviors reported by the patient or observed as part of psychiatric or behavioral disorders, falling under subjective experiences rather than objective, measurable evidence.</t>
  </si>
  <si>
    <t>Intentional device misuse: Sign - Device misuse is an observable action or behavior, not a subjective patient-reported experience. It is objective evidence of improper use.</t>
  </si>
  <si>
    <t xml:space="preserve">Case ID: 231638587 
 Case Version: 7 
 FDA Code: F 
 Event Date: NA 
 Manufacture Date: 20250318 
 Initial FDA Date: 20231109 
 FDA Date: 20250319 
 Report Code: 30DAY 
 Authorization Number: NA 
 Manufacturer Number: US-PFIZER INC-202300351105 
 Manufacturer Sender: PFIZER 
 Literature Reference: NA 
 Age: 5 
 Age Code: YR 
 Age Group: NA 
 Sex: F 
 E Sub: Y 
 Weight: NA 
 Weight Code: NA 
 Report Date: 20250319 
 To Manufacturer: NA 
 Occupation Code: CN 
 Reporter Country: US 
 Occurrence Country: US 
 Adverse Reaction(s): Confusional state ; Device breakage ; Intentional device misuse 
 Case ID Number: 23163858 
 Drug Sequence: 1 
 Role Code: PS 
 Drug Name: GENOTROPIN 
 Product AI: GENOTROPIN 
 Val VBM: 1 
 Route: NA 
 Dose VBM: 0.5 mg, daily 
 Cumulative Dose (Char): NA 
 Cumulative Dose (Unit): NA 
 Dechal: U 
 Rechal: NA 
 Lot Number: NA 
 Expiration Date: NA 
 NDA Number: 20280 
 Dose Amount: 0.5 
 Dose Unit: MG 
 Dose Form: Solution for injection 
 Dose Frequency: NA 
 Indication for Use: NA 
 Therapy Start Date: NA 
 Therapy End Date: NA 
 Duration: NA 
 Duration Code: NA </t>
  </si>
  <si>
    <t>MAYZENT</t>
  </si>
  <si>
    <t>## Pair Assessment: MAYZENT vs General physical health deterioration
**CrewAI Final Output:**
```
**Comprehensive Causality Assessment for General physical health deterioration Associated with MAYZENT**
**FINAL PLAUSIBILITY RATING:** LOW
**Detailed Causality Analysis:**
1.  **Temporal Plausibility**
    Assessment of a temporal relationship between the initiation of MAYZENT and the onset of 'General physical health deterioration' is not possible. Key data points, including the Therapy Start Date and the Event Date, are marked as 'MISSING' in the case metadata. Without this information, it is impossible to establish or evaluate the time to onset, which is a critical first step in causality assessment.
2.  **Biological Plausibility**
    The biological plausibility for MAYZENT causing 'General physical health deterioration' is extremely low and, in fact, contradictory to its established mechanism of action and clinical effects.
    *   **Mechanism of Action:** MAYZENT (siponimod) is a sphingosine-1-phosphate (S1P) receptor modulator that sequesters lymphocytes in lymph nodes. This action reduces the migration of inflammatory cells into the central nervous system, thereby decreasing the inflammation that drives disease progression in Multiple Sclerosis (MS).
    *   **Literature Evidence:** The provided literature summary, based on the pivotal EXPAND clinical trial, demonstrates that MAYZENT significantly *reduces* the risk of physical disability progression. It was shown to slow the worsening of the Expanded Disability Status Scale (EDSS) score by 21-26%, preserve walking ability, and reduce brain atrophy. This body of evidence shows the drug's intended and proven effect is to *prevent or slow* the very event being reported. No PMIDs were found associating the drug with causing this event.
3.  **Dechallenge/Rechallenge**
    The case metadata explicitly states that both the Dechallenge Result and Rechallenge Result are 'MISSING'. Therefore, no information is available regarding the effect of drug withdrawal or re-administration on the patient's condition. This lack of data means that dechallenge/rechallenge evidence cannot be used to support or refute causality.
4.  **Objective Evidence**
    There is no objective evidence provided in this specific case to support a causal link. The event term 'General physical health deterioration' is non-specific and lacks clinical detail. Furthermore, the provided literature search for "MAYZENT AND General physical health deterioration" yielded zero results, indicating a lack of published evidence for such an association. The objective evidence that is available (from the EXPAND trial) argues strongly against a causal relationship.
5.  **Confounding Factors**
    *   **Underlying Disease:** The most significant confounding factor is the patient's indication for treatment: Multiple Sclerosis. MS, particularly the secondary progressive form for which MAYZENT is indicated, is a neurodegenerative disease inherently characterized by progressive physical and neurological decline. 'General physical health deterioration' is a primary manifestation and expected course of the underlying illness itself.
    *   **History of Similar Reactions:** The patient metadata notes a "History of Similar Reactions: Y". This strongly suggests that the reported deterioration is part of the patient's ongoing disease progression, which was occurring prior to or independent of MAYZENT therapy.
    *   **Concurrent Medications:** This is not a confounding factor, as the case report specifies "N/A: single drug".
6.  **Synthesis and Final Assessment**
    The assessment of causality is severely limited by missing core information, particularly temporal data and dechallenge/rechallenge results. However, based on the available information, a causal relationship is highly unlikely. The reported event is a known, expected symptom and the primary outcome of the underlying disease, Multiple Sclerosis. The drug's mechanism and robust clinical trial evidence demonstrate that it is effective in slowing this exact type of physical deterioration. The patient's history of similar reactions further points to the natural progression of their MS as the cause. Therefore, the event is most plausibly attributed to the progression of the underlying disease rather than a paradoxical effect of the drug. The final plausibility is rated as **LOW**.
```
---</t>
  </si>
  <si>
    <t>Underlying multiple sclerosis and concurrent nervous system/mental disorder may plausibly contribute to general health deterioration independent of Mayzent exposure.</t>
  </si>
  <si>
    <t xml:space="preserve">Case ID: 231876503 
 Case Version: 3 
 FDA Code: F 
 Event Date: NA 
 Manufacture Date: 20250326 
 Initial FDA Date: 20231115 
 FDA Date: 20250403 
 Report Code: EXP 
 Authorization Number: NA 
 Manufacturer Number: NVSC2023GB240354 
 Manufacturer Sender: NOVARTIS 
 Literature Reference: NA 
 Age: NA 
 Age Code: NA 
 Age Group: NA 
 Sex: F 
 E Sub: Y 
 Weight: NA 
 Weight Code: NA 
 Report Date: 20250403 
 To Manufacturer: NA 
 Occupation Code: CN 
 Reporter Country: GB 
 Occurrence Country: GB 
 Adverse Reaction(s): General physical health deterioration ; Mental disorder ; Thinking abnormal ; Personality change ; Nervous system disorder 
 Case ID Number: 23187650 
 Drug Sequence: 1 
 Role Code: PS 
 Drug Name: MAYZENT 
 Product AI: MAYZENT 
 Val VBM: 1 
 Route: Unknown 
 Dose VBM: UNK 
 Cumulative Dose (Char): NA 
 Cumulative Dose (Unit): NA 
 Dechal: NA 
 Rechal: NA 
 Lot Number: NA 
 Expiration Date: NA 
 NDA Number: 209884 
 Dose Amount: NA 
 Dose Unit: NA 
 Dose Form: Film-coated tablet 
 Dose Frequency: NA 
 Indication for Use: Multiple sclerosis 
 Therapy Start Date: NA 
 Therapy End Date: NA 
 Duration: NA 
 Duration Code: NA </t>
  </si>
  <si>
    <t>XELJANZ XR</t>
  </si>
  <si>
    <t>**Temporal Plausibility**
    The patient, a 63-year-old female, began therapy with XELJANZ XR (tofacitinib) in February 2021. The adverse event, 'Visual impairment', occurred on January 1, 2022. The time to onset is approximately 11 months. This latency is neither immediate nor excessively delayed and could be consistent with an adverse event related to chronic immunosuppressive therapy. However, the temporal relationship by itself is non-specific and does not strongly support causality without further information.</t>
  </si>
  <si>
    <t>while the start date is known, an 11-month onset for an aneurysm is non-specific and could easily be a coincidence in a 63-year-old.</t>
  </si>
  <si>
    <t>**Confounding Factors**
    Several significant confounding factors are present that could provide an alternative explanation for the event:
    *   **Underlying Disease:** The indication for treatment is Rheumatoid arthritis (RA), a systemic autoimmune condition with known extra-articular manifestations, including ocular inflammation (e.g., scleritis, uveitis) that can cause visual impairment.
    *   **Concurrent Medication:** The patient was taking Methotrexate, another immunosuppressant for RA, which complicates the clinical picture.
    *   **Age:** At 63 years old, the patient is at an increased risk for age-related ocular conditions that can cause visual impairment.</t>
  </si>
  <si>
    <t>Intracranial aneurysm reported concurrently may plausibly contribute to visual impairment independent of Xeljanz XR exposure.</t>
  </si>
  <si>
    <t>Visual impairment   Case ID: Symptom - Visual impairment is a subjective experience reported by the patient about their vision, not an objective measurement like visual acuity testing or fundoscopic findings that would qualify as a sign.</t>
  </si>
  <si>
    <t>Case ID: 232944706 
 Case Version: 6 
 FDA Code: F 
 Event Date: 20220101 
 Manufacture Date: 20250108 
 Initial FDA Date: 20231213 
 FDA Date: 20250114 
 Report Code: EXP 
 Authorization Number: NA 
 Manufacturer Number: US-PFIZER INC-PV202300198002 
 Manufacturer Sender: PFIZER 
 Literature Reference: NA 
 Age: 63 
 Age Code: YR 
 Age Group: NA 
 Sex: F 
 E Sub: Y 
 Weight: 67.211 
 Weight Code: KG 
 Report Date: 20250114 
 To Manufacturer: NA 
 Occupation Code: CN 
 Reporter Country: US 
 Occurrence Country: US 
 Adverse Reaction(s): Intracranial aneurysm ; Visual impairment 
 Case ID Number: 23294470 
 Drug Sequence: 1 ; 2 
 Role Code: PS ; C 
 Drug Name: XELJANZ XR ; METHOTREXATE 
 Product AI: XELJANZ XR ; METHOTREXATE 
 Val VBM: 1 ; 1 
 Route: Oral ; NA 
 Dose VBM: 11 mg ; 15 mg, weekly 
 Cumulative Dose (Char): NA ; NA 
 Cumulative Dose (Unit): NA ; NA 
 Dechal: NA ; NA 
 Rechal: NA ; NA 
 Lot Number: NA ; NA 
 Expiration Date: NA ; NA 
 NDA Number: 208246 ; NA 
 Dose Amount: 11 ; 15 
 Dose Unit: MG ; MG 
 Dose Form: Prolonged-release tablet ; NA 
 Dose Frequency: NA ; /WK 
 Indication for Use: Rheumatoid arthritis ; Rheumatoid arthritis ; Rheumatoid arthritis 
 Therapy Start Date: 202102 ; NA 
 Therapy End Date: NA ; NA 
 Duration: 46 ; NA 
 Duration Code: MON ; NA</t>
  </si>
  <si>
    <t>Cough</t>
  </si>
  <si>
    <t>BELIMUMAB</t>
  </si>
  <si>
    <t>**Temporal Plausibility**
   - The therapy started on 20151030 and the event date has been indicated as 20210101. This creates a substantial time frame between the initiation of the drug and the occurrence of the event, raising questions about the temporality of the relationships.</t>
  </si>
  <si>
    <t>Therapy Start Date: 20151030; Event Date: 20210101.
Confirmation: The events occurred approximately 5 years after therapy initiation. Although the events occurred after BELIMUMAB exposure, the long latency makes a clear temporal relationship difficult to establish for the AE.</t>
  </si>
  <si>
    <t>**Confounding Factors**
   - Confounding factors could be the concurrent medications including Chloroquine and Hydroxychloroquine Sulfate. Both the drugs have been taken for the same indication (Systemic lupus erythematosus) as Belimumab. However, a detailed assessment of each medication's side effects would be necessary to definitively identify if they could have caused the cough.</t>
  </si>
  <si>
    <t>These symptoms are consistent with respiratory infections (e.g., influenza) rather than drug-related effects.</t>
  </si>
  <si>
    <t>Cough: Symptom - Cough is primarily a subjective experience reported by the patient, though it can sometimes be observed by others. It involves the patient's perception of the urge or act of coughing, making it fundamentally a symptom rather than an objective, measurable sign.</t>
  </si>
  <si>
    <t xml:space="preserve">Cough: Sign - Cough is an observable and measurable event, often detected by healthcare providers through auscultation or patient observation. </t>
  </si>
  <si>
    <t>since the AE is a clinical sign (as opposed to a symptom), it is assumed that the appropriate medical tests have been performed by a healthcare professional, prior to diagnosing.</t>
  </si>
  <si>
    <t xml:space="preserve">Case ID: 1528861314 
 Case Version: 14 
 FDA Code: F 
 Event Date: 20210101 
 Manufacture Date: 20250211 
 Initial FDA Date: 20180817 
 FDA Date: 20250218 
 Report Code: EXP 
 Authorization Number: NA 
 Manufacturer Number: BR-GLAXOSMITHKLINE-BR2016GSK120527 
 Manufacturer Sender: GLAXOSMITHKLINE 
 Literature Reference: NA 
 Age: NA 
 Age Code: NA 
 Age Group: NA 
 Sex: NA 
 E Sub: Y 
 Weight: NA 
 Weight Code: NA 
 Report Date: 20250218 
 To Manufacturer: NA 
 Occupation Code: CN 
 Reporter Country: BR 
 Occurrence Country: BR 
 Adverse Reaction(s): Somnolence ; Dengue fever ; Inappropriate schedule of product administration ; Product prescribing issue ; Loss of consciousness ; Overdose ; Pain ; Circumstance or information capable of leading to medication error ; Drug ineffective ; Weight increased ; Influenza ; Product dose omission issue ; Rhinorrhoea ; Dizziness ; Off label use ; Cough ; Arthralgia 
 Case ID Number: 15288613 
 Drug Sequence: 1 ; 5 ; 6 ; 2 ; 3 ; 4 
 Role Code: PS ; C ; C ; SS ; SS ; SS 
 Drug Name: BELIMUMAB ; CHLOROQUINE ; HYDROXYCHLOROQUINE SULFATE ; BELIMUMAB ; BELIMUMAB ; DIPYRONE 
 Product AI: BELIMUMAB ; CHLOROQUINE ; HYDROXYCHLOROQUINE SULFATE ; BELIMUMAB ; BELIMUMAB ; DIPYRONE 
 Val VBM: 1 ; 1 ; 1 ; 1 ; 1 ; 1 
 Route: Intravenous (not otherwise specified) ; NA ; NA ; Intravenous (not otherwise specified) ; Intravenous (not otherwise specified) ; NA 
 Dose VBM: 920 mg ; UNK ; UNK ; 120 mg ; UNK, Q4W, 2 of 400mg/1 of 120mg ; UNK 
 Cumulative Dose (Char): NA ; NA ; NA ; NA ; NA ; NA 
 Cumulative Dose (Unit): NA ; NA ; NA ; NA ; NA ; NA 
 Dechal: NA ; U ; U ; NA ; NA ; U 
 Rechal: NA ; NA ; NA ; NA ; NA ; NA 
 Lot Number: NA ; NA ; NA ; NA ; NA ; NA 
 Expiration Date: NA ; NA ; NA ; NA ; NA ; NA 
 NDA Number: 125 ; NA ; NA ; 125 ; 125 ; NA 
 Dose Amount: 920 ; NA ; NA ; 120 ; NA ; NA 
 Dose Unit: MG ; NA ; NA ; MG ; NA ; NA 
 Dose Form: Powder for solution for infusion ; NA ; NA ; Powder for solution for infusion ; Powder for solution for infusion ; NA 
 Dose Frequency: NA ; NA ; NA ; NA ; NA ; NA 
 Indication for Use: Systemic lupus erythematosus ; Systemic lupus erythematosus ;  ;  ; Product used for unknown indication ; Product used for unknown indication ; Product used for unknown indication 
 Therapy Start Date: 20151030 ; NA ; NA ; NA ; NA ; NA 
 Therapy End Date: NA ; NA ; NA ; NA ; NA ; NA 
 Duration: NA ; NA ; NA ; NA ; NA ; NA 
 Duration Code: NA ; NA ; NA ; NA ; NA ; NA </t>
  </si>
  <si>
    <t>CHLOROQUINE</t>
  </si>
  <si>
    <t>**Temporal Plausibility:** The temporal relationship between the therapy and the reported effect is not clear and hence cannot be evaluated. The event date is known, but the start date and duration of the chloroquine therapy are missing. Furthermore, the therapy period of concurrent medications is also largely unknown. Given this lack of time-based data, it is impossible to establish a strong temporal connection between the therapy and the effect.</t>
  </si>
  <si>
    <t>Therapy Start Date: NA; Event Date: 20210101.
Confirmation: The therapy start date is not available. Therefore, it cannot be determined whether the adverse events occurred after drug administration, and a temporal relationship cannot be established.</t>
  </si>
  <si>
    <t>**Confounding Factors:** Patient was also on two other medications, BELIMUMAB (also for SLE) and HYDROXYCHLOROQUINE SULFATE (indication missing), but their treatment periods are also not fully known. It is challenging to separate the effects of these drugs from the reported ineffectiveness. Additionally, DIPYRONE was used, but it's unclear why. It may be possible that the complex therapy regime could influence the overall effectiveness of chloroquine.</t>
  </si>
  <si>
    <t>Influenza is an infectious condition unrelated to drug exposure and represents an independent cause.</t>
  </si>
  <si>
    <t>Drug ineffective: Symptom - Drug ineffectiveness is typically a subjective assessment based on patient-reported lack of expected therapeutic response, clinical judgment of treatment failure, or failure to meet objective endpoints in studies, rather than a directly observable or measurable physical finding.</t>
  </si>
  <si>
    <t xml:space="preserve">Drug ineffective: Sign - Drug ineffectiveness is an objective assessment based on lack of therapeutic effect, measurable by clinical evaluation or laboratory tests. </t>
  </si>
  <si>
    <t>**Temporal Plausibility:** The onset of the cough in relation to the therapy start date cannot be clearly established due to the missing dates in the provided information.</t>
  </si>
  <si>
    <t>**Confounding Factors:** The patient was concurrently taking other medication like belimumab and hydroxychloroquine sulfate, which could potentially confound the causality assessment. Particularly, the hydroxychloroquine sulfate has been associated with transient cough when administered via inhalation. Another confounding factor is that the symptom of cough could potentially be related to the patient's pre-existing disease condition (Systemic lupus erythematosus).</t>
  </si>
  <si>
    <t>HYDROXYCHLOROQUINE SULFATE</t>
  </si>
  <si>
    <t>**Temporal Plausibility:** Not strictly assessable due to missing patient and therapy data, but a case study (PMID: 35930536) did report transient coughing irritation after the inhalation of HCQ. Therefore, a temporal relation could exist.</t>
  </si>
  <si>
    <t>**Confounding Factors:** The patient was also taking Belimumab and Chloroquine, both for systemic lupus erythematosus, and Dipyrone for an unknown indication. It is possible that other drugs have induced the cough, or it may be due to underlying disease processes, such as systemic lupus erythematosus itself or its related lung involvement. Moreover, cough is a common symptom in many conditions, and can be affected by various environmental factors, which are other potential confounders.</t>
  </si>
  <si>
    <t>Balance disorder</t>
  </si>
  <si>
    <t>DICLOFENAC SODIUM</t>
  </si>
  <si>
    <t xml:space="preserve">Agent: Pharmacovigilance Causality Specialist                                                                  │
│                                                                                                                 │
│  Final Answer:                                                                                                  │
│  **Comprehensive Causality Assessment for Balance disorder Associated with DICLOFENAC SODIUM**                  │
│                                                                                                                 │
│  **FINAL PLAUSIBILITY RATING:** LOW                                                                             │
│                                                                                                                 │
│  **Detailed Causality Analysis:**                                                                               │
│                                                                                                                 │
│  **1. Temporal Plausibility**                                                                                   │
│  The temporal relationship between the administration of DICLOFENAC SODIUM and the onset of the 'Balance        │
│  disorder' cannot be established from the provided information. The 'Therapy Start' date for the drug is        │
│  listed as MISSING, while the 'Event Date' is 20190712. Without a start date, it is impossible to determine if  │
│  the event occurred in a plausible timeframe following drug initiation. Therefore, temporal plausibility is     │
│  indeterminate and considered weak due to the lack of critical data.                                            │
│                                                                                                                 │
│  **2. Biological Plausibility**                                                                                 │
│  The provided literature summary does not support a biological mechanism for DICLOFENAC SODIUM causing a        │
│  clinical balance disorder. The mechanism of action described (PMID: 18432131) relates to the inhibition of     │
│  COX-1 and COX-2, which can disrupt the biochemical "balance" between thromboxane A2 and prostacyclin, leading  │
│  to cardiovascular risks. This is distinct from vestibular or neurological dysfunction causing a physical       │
│  balance disorder. The clinical evidence provided (PMID: 18432131, 15972345, 15763607) contains no reports or   │
│  suggestions of an association between diclofenac and ataxia, vertigo, or postural instability. Based strictly  │
│  on the context provided, biological plausibility is not supported.                                             │
│                                                                                                                 │
│  **3. Dechallenge/Rechallenge**                                                                                 │
│  Information regarding dechallenge and rechallenge is absent. The 'Dechallenge Result' and 'Rechallenge         │
│  Result' for DICLOFENAC SODIUM are both listed as MISSING. The absence of this information significantly        │
│  weakens the assessment of causality, as a positive dechallenge (symptom improvement upon drug withdrawal) or   │
│  a positive rechallenge (symptom recurrence upon re-administration) would be strong evidence for a causal       │
│  link.                                                                                                          │
│                                                                                                                 │
│  **4. Objective Evidence**                                                                                      │
│  The primary objective evidence available is the literature summary, which, as noted, fails to provide any      │
│  clinical data linking DICLOFENAC SODIUM to 'Balance disorder'. The patient is a 65-year-old male with a        │
│  reported 'History of Similar Reactions'. This history could suggest a pre-existing or recurring condition      │
│  unrelated to the suspect drug, or a sensitivity to a class of drugs, but without further details, it does not  │
│  specifically implicate diclofenac. No other objective evidence (e.g., diagnostic tests, clinical               │
│  observations) is provided to support the association.                                                          │
│                                                                                                                 │
│  **5. Confounding Factors**                                                                                     │
│  There are multiple significant confounding factors in this case that provide strong alternative explanations   │
│  for the 'Balance disorder':                                                                                    │
│  *   **Concurrent Medications:** The patient was taking numerous medications known to cause dizziness, ataxia,  │
│  or balance issues. These include, but are not limited to: AMITRIPTYLINE HYDROCHLORIDE (tricyclic               │
│  antidepressant), XANAX (alprazolam, a benzodiazepine), PONATINIB (tyrosine kinase inhibitor), SUMATRIPTAN      │
│  SUCCINATE, METRONIDAZOLE, AMLODIPINE BESYLATE, and LOSARTAN POTASSIUM. The presence of these agents makes it   │
│  very difficult to isolate DICLOFENAC SODIUM as the causative agent.                                            │
│  *   **Underlying Disease:** The patient's indication for therapy is 'Acute lymphocytic leukaemia'. The         │
│  disease itself, as well as its various treatments, can have neurological manifestations, including balance     │
│  disturbances.                                                                                                  │
│  *   **Patient Factors:** The patient's age of 65 is a risk factor for balance problems. The reported 'History  │
│  of Similar Reactions' also points towards a potential underlying or chronic cause for the event.               │
│                                                                                                                 │
│  **6. Synthesis and Final Assessment**                                                                          │
│  The assessment of a causal relationship between DICLOFENAC SODIUM and 'Balance disorder' in this case is very  │
│  weak. The temporal relationship is unknown due to missing data. The provided literature does not support       │
│  biological plausibility for this specific adverse event. Critical information from dechallenge and             │
│  rechallenge is absent. Most importantly, there is a high burden of confounding factors, including numerous     │
│  concurrent medications with a well-established risk of causing balance issues and the patient's underlying     │
│  malignancy. The patient's age and history of similar events further suggest alternative etiologies. Given the  │
│  lack of supportive evidence and the presence of strong alternative explanations, the likelihood that           │
│  DICLOFENAC SODIUM caused the 'Balance disorder' is low. </t>
  </si>
  <si>
    <t>Patient received Xanax, amitriptyline, Lexapro, sumatriptan, and ponatinib, all of which may contribute to CNS impairment and falls.</t>
  </si>
  <si>
    <t>Balance disorder: Symptom - Balance disorder is a subjective experience reported by the patient, describing a sensation of unsteadiness, dizziness, or loss of equilibrium that cannot be objectively measured without additional clinical assessment or diagnostic tests.</t>
  </si>
  <si>
    <t xml:space="preserve">Balance disorder: Sign - Balance disorder is often assessed objectively through clinical tests (e.g., Romberg test, gait analysis) and can be observed by a clinician, making it a sign. </t>
  </si>
  <si>
    <t xml:space="preserve">Case ID: 1533150218 
 Case Version: 18 
 FDA Code: F 
 Event Date: 20190712 
 Manufacture Date: 20250620 
 Initial FDA Date: 20180829 
 FDA Date: 20250625 
 Report Code: EXP 
 Authorization Number: NA 
 Manufacturer Number: US-TAKEDA-2018TUS025703 
 Manufacturer Sender: TAKEDA 
 Literature Reference: NA 
 Age: 65 
 Age Code: YR 
 Age Group: NA 
 Sex: M 
 E Sub: Y 
 Weight: NA 
 Weight Code: NA 
 Report Date: 20250625 
 To Manufacturer: NA 
 Occupation Code: NA 
 Reporter Country: US 
 Occurrence Country: US 
 Adverse Reaction(s): Rash ; Nasopharyngitis ; Abdominal distension ; Cataract ; Panic attack ; Asthenia ; White blood cell count decreased ; Chest discomfort ; Weight increased ; Balance disorder ; Vision blurred ; Fall ; Palpitations ; Cardiac disorder ; Blood pressure increased ; Dyspnoea ; Abdominal pain upper ; Headache ; Blood pressure abnormal ; Impaired healing ; Back pain ; Parkinson's disease ; Chest pain ; Flushing ; Muscular weakness ; Arthralgia ; Feeling abnormal ; Dizziness ; Visual impairment ; Blood pressure decreased ; Hypertension ; Confusional state ; Urinary incontinence ; Product dose omission issue ; Constipation ; Pain ; Quality of life decreased ; Abdominal discomfort ; Feeling of body temperature change ; Neuropathy peripheral ; Rash erythematous ; Pain in extremity ; Migraine ; Dry eye ; Fatigue ; Gait inability ; Pyrexia ; Tendon disorder ; Rash maculo-papular ; Arthritis ; Renal cyst ; Incoherent ; Ejection fraction decreased 
 Case ID Number: 15331502 
 Drug Sequence: 10 ; 18 ; 11 ; 1 ; 14 ; 1 ; 12 ; 1 ; 19 ; 4 ; 1 ; 1 ; 3 ; 17 ; 7 ; 6 ; 13 ; 5 ; 8 ; 1 ; 1 ; 21 ; 9 ; 1 ; 16 ; 2 ; 1 ; 15 ; 1 ; 20 ; 1 
 Role Code: C ; C ; C ; PS ; C ; PS ; C ; PS ; C ; C ; PS ; PS ; C ; C ; C ; C ; C ; C ; C ; PS ; PS ; C ; C ; PS ; C ; SS ; PS ; C ; PS ; C ; PS 
 Drug Name: DICLOFENAC SODIUM ; ASPIRIN ; FLOMAX ; PONATINIB ; AMITRIPTYLINE HYDROCHLORIDE ; PONATINIB ; SUMATRIPTAN SUCCINATE ; PONATINIB ; XDEMVY ; ACYCLOVIR ; PONATINIB ; PONATINIB ; BACTRIM ; AMLODIPINE BESYLATE ; XANAX ; LOSARTAN POTASSIUM ; ACETAMINOPHEN ; LEXAPRO ; IBUPROFEN ; PONATINIB ; PONATINIB ; IVIZIA DRY EYE ; DOXYCYCLINE ; PONATINIB ; METRONIDAZOLE ; PREDNISONE ; PONATINIB ; DOXYCYCLINE HYCLATE ; PONATINIB ; DOPAMINE HYDROCHLORIDE AND DEXTROSE ; PONATINIB 
 Product AI: DICLOFENAC SODIUM ; ASPIRIN ; FLOMAX ; PONATINIB ; AMITRIPTYLINE HYDROCHLORIDE ; PONATINIB ; SUMATRIPTAN SUCCINATE ; PONATINIB ; XDEMVY ; ACYCLOVIR ; PONATINIB ; PONATINIB ; BACTRIM ; AMLODIPINE BESYLATE ; XANAX ; LOSARTAN POTASSIUM ; ACETAMINOPHEN ; LEXAPRO ; IBUPROFEN ; PONATINIB ; PONATINIB ; IVIZIA DRY EYE ; DOXYCYCLINE ; PONATINIB ; METRONIDAZOLE ; PREDNISONE ; PONATINIB ; DOXYCYCLINE HYCLATE ; PONATINIB ; DOPAMINE HYDROCHLORIDE AND DEXTROSE ; PONATINIB 
 Val VBM: 1 ; 1 ; 1 ; 1 ; 1 ; 1 ; 1 ; 1 ; 1 ; 1 ; 1 ; 1 ; 1 ; 1 ; 1 ; 1 ; 1 ; 1 ; 1 ; 1 ; 1 ; 1 ; 1 ; 1 ; 1 ; 1 ; 1 ; 1 ; 1 ; 1 ; 1 
 Route: NA ; NA ; NA ; Oral use ; NA ; Oral use ; NA ; Oral use ; NA ; NA ; Oral use ; NA ; NA ; NA ; NA ; NA ; NA ; NA ; NA ; Oral use ; Oral use ; NA ; NA ; Oral use ; NA ; NA ; Oral use ; NA ; Oral use ; NA ; Oral use 
 Dose VBM: UNK ; UNK ; UNK ; 10 milligram, qd ; UNK ; 10 milligram, qd ; UNK ; 15 milligram, qd ; UNK ; UNK ; 15 milligram, qd ; 10 milligram, qd ; UNK ; UNK ; UNK ; UNK ; UNK ; UNK ; UNK ; 15 milligram, qd ; 10 milligram, qd ; UNK ; UNK ; 15 milligram, qd ; UNK ; UNK ; 15 milligram, qd ; UNK ; 15 milligram, qd ; UNK ; 30 milligram, qd 
 Cumulative Dose (Char): NA ; NA ; NA ; NA ; NA ; NA ; NA ; NA ; NA ; NA ; NA ; NA ; NA ; NA ; NA ; NA ; NA ; NA ; NA ; NA ; NA ; NA ; NA ; NA ; NA ; NA ; NA ; NA ; NA ; NA ; NA 
 Cumulative Dose (Unit): NA ; NA ; NA ; NA ; NA ; NA ; NA ; NA ; NA ; NA ; NA ; NA ; NA ; NA ; NA ; NA ; NA ; NA ; NA ; NA ; NA ; NA ; NA ; NA ; NA ; NA ; NA ; NA ; NA ; NA ; NA 
 Dechal: NA ; NA ; NA ; U ; NA ; U ; NA ; U ; NA ; NA ; U ; U ; NA ; NA ; NA ; NA ; NA ; NA ; NA ; U ; U ; NA ; NA ; U ; NA ; N ; U ; NA ; U ; NA ; U 
 Rechal: NA ; NA ; NA ; U ; NA ; U ; NA ; U ; NA ; NA ; U ; U ; NA ; NA ; NA ; NA ; NA ; NA ; NA ; U ; U ; NA ; NA ; U ; NA ; U ; U ; NA ; U ; NA ; U 
 Lot Number: NA ; NA ; NA ; 12840629 ; NA ; 12713877 ; NA ; 12080465,12269110 ; NA ; NA ; CBCTX,CBPZK,CBPVM,CBTGB,CCYNG,CDTSG ; 12164806 ; NA ; NA ; NA ; NA ; NA ; NA ; NA ; 12529434 ; 12699154 ; NA ; NA ; 12272944,12486567 ; NA ; NA ; 12586728 ; NA ; 12699154 ; NA ; CBBWG 
 Expiration Date: NA ; NA ; NA ; NA ; NA ; NA ; NA ; NA ; NA ; NA ; NA ; NA ; NA ; NA ; NA ; NA ; NA ; NA ; NA ; NA ; NA ; NA ; NA ; NA ; NA ; NA ; NA ; NA ; NA ; NA ; NA 
 NDA Number: NA ; NA ; NA ; 203469 ; NA ; 203469 ; NA ; 203469 ; NA ; NA ; 203469 ; 203469 ; NA ; NA ; NA ; NA ; NA ; NA ; NA ; 203469 ; 203469 ; NA ; NA ; 203469 ; NA ; NA ; 203469 ; NA ; 203469 ; NA ; 203469 
 Dose Amount: NA ; NA ; NA ; 10 ; NA ; 10 ; NA ; 15 ; NA ; NA ; 15 ; 10 ; NA ; NA ; NA ; NA ; NA ; NA ; NA ; 15 ; 10 ; NA ; NA ; 15 ; NA ; NA ; 15 ; NA ; 15 ; NA ; 30 
 Dose Unit: NA ; NA ; NA ; MG ; NA ; MG ; NA ; MG ; NA ; NA ; MG ; MG ; NA ; NA ; NA ; NA ; NA ; NA ; NA ; MG ; MG ; NA ; NA ; MG ; NA ; NA ; MG ; NA ; MG ; NA ; MG 
 Dose Form: NA ; NA ; NA ; Tablet ; NA ; Tablet ; NA ; Tablet ; NA ; NA ; Tablet ; Tablet ; NA ; NA ; NA ; NA ; NA ; NA ; NA ; Tablet ; Tablet ; NA ; NA ; Tablet ; NA ; NA ; Tablet ; NA ; Tablet ; NA ; Tablet 
 Dose Frequency: NA ; NA ; NA ; QD ; NA ; QD ; NA ; QD ; NA ; NA ; QD ; QD ; NA ; NA ; NA ; NA ; NA ; NA ; NA ; QD ; QD ; NA ; NA ; QD ; NA ; NA ; QD ; NA ; QD ; NA ; QD 
 Indication for Use: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Acute lymphocytic leukaemia ; Product used for unknown indication ;  ;  ;  ;  ;  ;  ;  ;  ;  ;  ;  ;  ;  ;  ;  ;  ;  ;  ;  
 Therapy Start Date: NA ; NA ; NA ; 201807 ; NA ; 201807 ; NA ; 201807 ; NA ; NA ; 201807 ; 201807 ; NA ; NA ; NA ; NA ; NA ; NA ; NA ; 201807 ; 201807 ; NA ; NA ; 201807 ; NA ; NA ; 201807 ; NA ; 201807 ; NA ; 201807 
 Therapy End Date: NA ; NA ; NA ; NA ; NA ; NA ; NA ; NA ; NA ; NA ; NA ; NA ; NA ; NA ; NA ; NA ; NA ; NA ; NA ; NA ; NA ; NA ; NA ; NA ; NA ; NA ; NA ; NA ; NA ; NA ; NA 
 Duration: NA ; NA ; NA ; NA ; NA ; NA ; NA ; NA ; NA ; NA ; NA ; NA ; NA ; NA ; NA ; NA ; NA ; NA ; NA ; NA ; NA ; NA ; NA ; NA ; NA ; NA ; NA ; NA ; NA ; NA ; NA 
 Duration Code: NA ; NA ; NA ; NA ; NA ; NA ; NA ; NA ; NA ; NA ; NA ; NA ; NA ; NA ; NA ; NA ; NA ; NA ; NA ; NA ; NA ; NA ; NA ; NA ; NA ; NA ; NA ; NA ; NA ; NA ; NA </t>
  </si>
  <si>
    <t>Agent: Pharmacovigilance Causality Specialist                                                                  │
│                                                                                                                 │
│  Final Answer:                                                                                                  │
│  **Comprehensive Causality Assessment for Visual impairment Associated with DICLOFENAC SODIUM**                 │
│                                                                                                                 │
│  **FINAL PLAUSIBILITY RATING:** LOW                                                                             │
│                                                                                                                 │
│  **Detailed Causality Analysis:**                                                                               │
│                                                                                                                 │
│  **1. Temporal Plausibility**                                                                                   │
│  The temporal relationship between the administration of DICLOFENAC SODIUM and the onset of 'Visual             │
│  impairment' cannot be assessed. The therapy start date for the drug is marked as 'MISSING', while the event    │
│  date is recorded as 20190712. Without a start date, it is impossible to determine if the drug was              │
│  administered prior to the event, making a temporal connection speculative.                                     │
│                                                                                                                 │
│  **2. Biological Plausibility**                                                                                 │
│  The provided literature does not support a biological mechanism for DICLOFENAC SODIUM *causing* visual         │
│  impairment. The mechanism of action described (PMID: 36520144) relates to its use in *treating* cystoid        │
│  macular edema (a cause of visual impairment) by inhibiting prostaglandin synthesis and reducing inflammation.  │
│  While any drug modulating ocular physiology could have unintended effects, the supplied evidence points        │
│  towards a therapeutic, rather than a causative, role in conditions affecting vision. No mechanism for          │
│  inducing visual impairment is presented.                                                                       │
│                                                                                                                 │
│  **3. Dechallenge/Rechallenge**                                                                                 │
│  Information regarding dechallenge and rechallenge is unavailable. The 'Dechallenge Result' and 'Rechallenge    │
│  Result' for DICLOFENAC SODIUM are both listed as 'MISSING'. Therefore, the effect of drug withdrawal or        │
│  reintroduction on the patient's visual impairment is unknown, and this criterion cannot be used to support or  │
│  refute causality.                                                                                              │
│                                                                                                                 │
│  **4. Objective Evidence**                                                                                      │
│  There is a lack of objective evidence to support a causal link. The patient has a reported 'History of         │
│  Similar Reactions', which could suggest a predisposition, but the context of these prior reactions is not      │
│  provided. The clinical literature supplied does not support the association. The Cochrane review (PMID:        │
│  36520144) evaluates diclofenac's role in treating visual impairment, not causing it, and finds the evidence    │
│  for its efficacy "very uncertain." The observational study (PMID: 32532323) on topical diclofenac did not      │
│  assess or report any visual adverse events.                                                                    │
│                                                                                                                 │
│  **5. Confounding Factors**                                                                                     │
│  There are multiple significant confounding factors in this case:                                               │
│  *   **Underlying Disease:** The patient's indication is 'Acute lymphocytic leukaemia', a malignancy that can   │
│  have direct and indirect ocular manifestations leading to visual impairment.                                   │
│  *   **Concurrent Medications:** The patient was taking numerous concurrent medications with known potential    │
│  to cause visual disturbances. These include:                                                                   │
│      *   **PONATINIB:** A tyrosine kinase inhibitor known to cause serious ocular toxicities, including         │
│  macular edema and blurred vision.                                                                              │
│      *   **PREDNISONE:** A corticosteroid associated with cataracts and glaucoma.                               │
│      *   **AMITRIPTYLINE HYDROCHLORIDE:** Can cause blurred vision due to anticholinergic effects.              │
│      *   **DOXYCYCLINE:** Associated with pseudotumor cerebri, which can cause visual symptoms.                 │
│      *   **IBUPROFEN and ASPIRIN:** Other NSAIDs that could present a class effect, although this is not        │
│  supported by the provided literature.                                                                          │
│  The presence of these alternative etiologies, particularly the underlying disease and the co-administration    │
│  of Ponatinib, strongly confounds the assessment.                                                               │
│                                                                                                                 │
│  **6. Synthesis and Final Assessment**                                                                          │
│  The causality assessment for DICLOFENAC SODIUM causing 'Visual impairment' is weak. A temporal relationship    │
│  cannot be established due to missing data. The biological plausibility for causation is not supported by the   │
│  provided literature, which instead discusses a potential therapeutic role. There is no information on          │
│  dechallenge or rechallenge to strengthen the association. Most importantly, there are powerful confounding     │
│  factors, including the patient's underlying leukaemia and multiple concurrent medications (especially          │
│  Ponatinib) known to cause ocular adverse events. Given the absence of supportive evidence and the presence of  │
│  strong alternative explanations, the likelihood of a causal relationship is low.                               │
│                                                                                                                 │
╰─────────────────────────────────</t>
  </si>
  <si>
    <t>Patient received Xdemvy and Ivizia Dry Eye, suggesting pre-existing ocular symptoms/disorders.</t>
  </si>
  <si>
    <t>Visual impairment: Symptom - Visual impairment is a subjective experience reported by the patient regarding reduced vision quality, not directly observable or measurable without patient input, aligning with symptom classification.</t>
  </si>
  <si>
    <t>FLOMAX</t>
  </si>
  <si>
    <t xml:space="preserve">Agent: Pharmacovigilance Causality Specialist                                                                  │
│                                                                                                                 │
│  Final Answer:                                                                                                  │
│  **Comprehensive Causality Assessment for Balance disorder Associated with FLOMAX**                             │
│                                                                                                                 │
│  **FINAL PLAUSIBILITY RATING:** LOW                                                                             │
│                                                                                                                 │
│  **Detailed Causality Analysis:**                                                                               │
│                                                                                                                 │
│  **1. Temporal Plausibility**                                                                                   │
│                                                                                                                 │
│  The temporal relationship between the administration of FLOMAX and the onset of the 'Balance disorder' cannot  │
│  be established from the provided data. The Therapy Start date for FLOMAX is listed as MISSING, while the       │
│  Event Date is 20190712. Without knowing when the patient started the medication relative to when the event     │
│  occurred, it is impossible to assess whether a plausible time-to-onset exists. This absence of temporal data   │
│  significantly weakens any potential causal association.                                                        │
│                                                                                                                 │
│  **2. Biological Plausibility**                                                                                 │
│                                                                                                                 │
│  A weak biological plausibility exists for FLOMAX causing symptoms that could be interpreted as a balance       │
│  disorder. According to the literature summary (PMID: 12957197), FLOMAX (tamsulosin) is an                      │
│  alpha(1)-adrenoceptor antagonist. This class of drugs can interfere with blood pressure regulation,            │
│  potentially causing orthostatic hypotension, which manifests as dizziness and lightheadedness, directly        │
│  impacting balance. However, the same source notes that tamsulosin has the "lowest potential" among drugs in    │
│  its class to induce these adverse events due to its higher selectivity for alpha(1A) and alpha(1D)             │
│  adrenoceptors in the prostate over those in blood vessels. Therefore, while a mechanism exists, it is          │
│  considered less likely for FLOMAX compared to other similar medications.                                       │
│                                                                                                                 │
│  **3. Dechallenge/Rechallenge**                                                                                 │
│                                                                                                                 │
│  The effects of dechallenge and rechallenge are unknown. The case metadata explicitly states:                   │
│  -   **Dechallenge Result:** MISSING                                                                            │
│  -   **Rechallenge Result:** MISSING                                                                            │
│                                                                                                                 │
│  The absence of information on whether the 'Balance disorder' improved after stopping FLOMAX (positive          │
│  dechallenge) or recurred upon reintroduction (positive rechallenge) represents a critical gap in the           │
│  evidence. This information is fundamental to a robust causality assessment.                                    │
│                                                                                                                 │
│  **4. Objective Evidence**                                                                                      │
│                                                                                                                 │
│  The provided literature summary does not contain any direct clinical evidence, such as case reports or         │
│  controlled studies, that specifically links FLOMAX to 'Balance disorder'. The only relevant article (PMID:     │
│  12957197) provides a mechanistic hypothesis but also suggests FLOMAX has a favorable safety profile regarding  │
│  blood pressure-related side effects. The other two articles (PMID: 36461138 and PMID: 22709418) were deemed    │
│  irrelevant to this specific drug-event pair. Therefore, there is no objective clinical evidence in the         │
│  provided context to support this association.                                                                  │
│                                                                                                                 │
│  **5. Confounding Factors**                                                                                     │
│                                                                                                                 │
│  There are multiple, significant confounding factors that provide strong alternative explanations for the       │
│  'Balance disorder':                                                                                            │
│                                                                                                                 │
│  *   **Patient History:** The patient has a "History of Similar Reactions" (Y). This indicates a pre-existing   │
│  or recurrent issue with balance, making it less likely that FLOMAX is the sole or new cause of this specific   │
│  event.                                                                                                         │
│  *   **Underlying Disease:** The patient's indication is listed as Acute Lymphocytic Leukaemia, a serious       │
│  systemic illness that, along with its treatments, can cause a wide range of neurological and systemic          │
│  symptoms, including weakness and dizziness, which could contribute to a balance disorder.                      │
│  *   **Concomitant Medications:** The patient is on extensive polypharmacy with numerous drugs known to cause   │
│  dizziness, hypotension, or balance issues. Key confounders include:                                            │
│      *   **Antihypertensives:** AMLODIPINE BESYLATE and LOSARTAN POTASSIUM directly lower blood pressure and    │
│  are well-known to cause dizziness.                                                                             │
│      *   **CNS-Active Drugs:** AMITRIPTYLINE HYDROCHLORIDE, XANAX (alprazolam), and LEXAPRO (escitalopram) are  │
│  all strongly associated with dizziness, sedation, and impaired balance.                                        │
│      *   **Other Potential Confounders:** METRONIDAZOLE can cause dizziness and vertigo. SUMATRIPTAN SUCCINATE  │
│  is also associated with dizziness.                                                                             │
│                                                                                                                 │
│  The presence of these medications, particularly the antihypertensives and CNS depressants, offers a more       │
│  probable cause for the 'Balance disorder' than FLOMAX.                                                         │
│                                                                                                                 │
│  **6. Synthesis and Final Assessment**                                                                          │
│                                                                                                                 │
│  The overall evidence for a causal relationship between FLOMAX and 'Balance disorder' in this case is very      │
│  weak. The assessment is severely limited by the complete lack of temporal information and the absence of       │
│  dechallenge/rechallenge results. While a weak biological mechanism can be postulated (PMID: 12957197), the     │
│  same evidence suggests FLOMAX is less likely than others in its class to cause such an event. Most             │
│  importantly, the case is confounded by overwhelming alternative explanations, including the patient's history  │
│  of similar reactions and the concurrent use of multiple medications with a much stronger and more established  │
│  link to dizziness and balance impairment (e.g., amlodipine, losartan, amitriptyline, Xanax).                   │
│                                                                                                                 │
│  Given the lack of supporting data and the presence of strong confounders, the causality is assessed as         │
│  **LOW**.  </t>
  </si>
  <si>
    <t xml:space="preserve">Agent: Pharmacovigilance Causality Specialist                                                                  │
│                                                                                                                 │
│  Final Answer:                                                                                                  │
│  **Comprehensive Causality Assessment for VISUAL IMPAIRMENT Associated with FLOMAX**                            │
│                                                                                                                 │
│  **FINAL PLAUSIBILITY RATING:** LOW                                                                             │
│                                                                                                                 │
│  **Detailed Causality Analysis:**                                                                               │
│                                                                                                                 │
│  **1. Temporal Plausibility**                                                                                   │
│                                                                                                                 │
│  The temporal relationship between the administration of FLOMAX and the onset of 'Visual impairment' cannot be  │
│  assessed. The Therapy Start and End dates for FLOMAX are marked as 'MISSING'. The only available date is the   │
│  Event Date of 12-JUL-2019. Without knowing when the patient started taking the drug relative to the event, it  │
│  is impossible to establish a reasonable time-to-onset or determine if the drug was being taken at the time of  │
│  the event. This absence of temporal data is a significant weakness in this case and argues against a causal    │
│  association.                                                                                                   │
│                                                                                                                 │
│  **2. Biological Plausibility**                                                                                 │
│                                                                                                                 │
│  There is a strong, well-established biological plausibility for tamsulosin (the active ingredient in FLOMAX)   │
│  causing a specific ocular condition known as Intraoperative Floppy Iris Syndrome (IFIS). As detailed in the    │
│  expert summary, tamsulosin is a selective alpha-1A adrenergic receptor antagonist. These receptors are         │
│  present in the iris dilator muscle. Blockade of these receptors by tamsulosin leads to poor pupillary          │
│  dilation and a loss of iris muscle tone, resulting in IFIS during intraocular surgery (e.g., cataract          │
│  surgery). Complications arising from IFIS can lead to post-operative visual impairment.                        │
│                                                                                                                 │
│  However, the reported event is the non-specific term 'Visual impairment'. The case provides no details to      │
│  suggest the patient underwent eye surgery. While the mechanism for IFIS is known, a direct link to a general,  │
│  non-surgical 'Visual impairment' is not established in the provided literature. The patient's "History of      │
│  Similar Reactions: Y" is noted, but without further context, its relevance cannot be determined.               │
│                                                                                                                 │
│  **3. Dechallenge/Rechallenge**                                                                                 │
│                                                                                                                 │
│  Information regarding dechallenge and rechallenge is unavailable for FLOMAX.                                   │
│  *   **Dechallenge Result:** MISSING                                                                            │
│  *   **Rechallenge Result:** MISSING                                                                            │
│                                                                                                                 │
│  The outcome of the event is also unknown. Therefore, no conclusion can be drawn from dechallenge or            │
│  rechallenge criteria, providing no support for a causal link.                                                  │
│                                                                                                                 │
│  **4. Objective Evidence**                                                                                      │
│                                                                                                                 │
│  There is no objective clinical evidence provided within the case report to support the diagnosis of 'Visual    │
│  impairment' or to link it to FLOMAX. The PubMed search for 'FLOMAX' and 'Visual impairment' yielded zero       │
│  results, indicating a lack of direct literature for this specific event term. However, the expert summary      │
│  provides strong evidence for the association between tamsulosin and IFIS, a related but more specific          │
│  condition. This broader literature establishes that FLOMAX has a known and significant effect on ocular        │
│  tissues.                                                                                                       │
│                                                                                                                 │
│  **5. Confounding Factors**                                                                                     │
│                                                                                                                 │
│  This case is significantly confounded by multiple factors that present strong alternative explanations for     │
│  the 'Visual impairment'.                                                                                       │
│                                                                                                                 │
│  *   **Underlying Disease:** The patient has Acute lymphocytic leukaemia, a serious systemic illness that,      │
│  along with its treatments, can have secondary effects on multiple organ systems, including the eyes.           │
│  *   **Concomitant Medications:** The patient is on extensive polypharmacy. Several concurrent drugs are        │
│  strongly associated with ocular adverse events:                                                                │
│      *   **PONATINIB:** Known to cause serious ocular toxicities, including macular edema, retinal vascular     │
│  occlusion, and blurred vision. The patient was on this medication for a year prior to the event.               │
│      *   **PREDNISONE:** A corticosteroid well-known to cause cataracts and increased intraocular pressure      │
│  (glaucoma) with prolonged use, both of which lead to visual impairment.                                        │
│      *   **AMITRIPTYLINE HYDROCHLORIDE:** Can cause blurred vision due to its anticholinergic effects.          │
│      *   **DOXYCYCLINE:** Associated with pseudotumor cerebri (idiopathic intracranial hypertension), which     │
│  can cause visual disturbances.                                                                                 │
│      *   Other medications like IBUPROFEN, DICLOFENAC SODIUM, and LEXAPRO also list visual disturbances as      │
│  possible side effects.                                                                                         │
│                                                                                                                 │
│  The presence of multiple potent alternative drug candidates, particularly Ponatinib and Prednisone, makes it   │
│  highly difficult to isolate FLOMAX as the causative agent.                                                     │
│                                                                                                                 │
│  **6. Synthesis and Final Assessment**                                                                          │
│                                                                                                                 │
│  The assessment of causality for FLOMAX causing 'Visual impairment' in this case is **LOW**.                    │
│                                                                                                                 │
│  The only factor supporting a potential association is the known biological plausibility of tamsulosin          │
│  affecting ocular tissue, specifically causing IFIS. However, this is weighed against several critical          │
│  weaknesses: (1) a complete lack of temporal information, making it impossible to establish a timeline; (2)     │
│  the absence of dechallenge/rechallenge data; (3) a non-specific event term ('Visual impairment') that does     │
│  not clearly align with the known, specific effect of FLOMAX (IFIS); and (4) the presence of numerous, strong   │
│  confounding factors, including the patient's underlying malignancy and concurrent use of several medications   │
│  (notably Ponatinib and Prednisone) with well-documented ocular toxicity.                                       │
│                                                                                                                 │
│  Given the missing core data and the high likelihood of alternative etiologies, a causal relationship between   │
│  FLOMAX and the reported 'Visual impairment' is considered unlikely.                                            │
│                                                                      </t>
  </si>
  <si>
    <t>Incoherent</t>
  </si>
  <si>
    <t>Agent: Pharmacovigilance Causality Specialist                                                                  │
│                                                                                                                 │
│  Final Answer:                                                                                                  │
│  **Comprehensive Causality Assessment for Incoherent Associated with FLOMAX**                                   │
│                                                                                                                 │
│  **FINAL PLAUSIBILITY RATING:** LOW                                                                             │
│                                                                                                                 │
│  **Detailed Causality Analysis:**                                                                               │
│                                                                                                                 │
│  1.  **Temporal Plausibility**                                                                                  │
│      The therapy start date for FLOMAX is 'MISSING', while the event date is listed as 20190712. Without a      │
│  start date for the medication, it is impossible to establish a temporal relationship between the               │
│  administration of FLOMAX and the onset of the event 'Incoherent'. The absence of this critical data point      │
│  significantly weakens any potential association.                                                               │
│                                                                                                                 │
│  2.  **Biological Plausibility**                                                                                │
│      The provided literature summary, based on a PubMed search for "FLOMAX AND Incoherent", yielded 0 articles  │
│  (PMID: N/A). This indicates a lack of published clinical evidence directly linking FLOMAX (tamsulosin) to the  │
│  event 'Incoherent'. While tamsulosin, as an alpha-1 adrenergic antagonist, is known to cause orthostatic       │
│  hypotension, dizziness, and syncope, a state of incoherence is not a recognized or expected adverse effect. A  │
│  severe hypotensive episode could theoretically lead to cerebral hypoperfusion and subsequent confusion, but    │
│  there is no direct evidence from the provided information to support this indirect mechanism.                  │
│                                                                                                                 │
│  3.  **Dechallenge/Rechallenge**                                                                                │
│      The Dechallenge Result for FLOMAX is 'MISSING', and the Rechallenge Result is 'MISSING'. No information    │
│  is available regarding whether the event abated upon discontinuation of the drug or recurred upon              │
│  reintroduction. The absence of dechallenge and rechallenge information precludes any assessment of this        │
│  critical causality criterion.                                                                                  │
│                                                                                                                 │
│  4.  **Objective Evidence**                                                                                     │
│      The case involves a 65-year-old male patient. A key piece of metadata is the "History of Similar           │
│  Reactions: Y", which suggests the patient has experienced such events before. This history complicates the     │
│  attribution of the current event to any single new agent and may indicate a pre-existing susceptibility or a   │
│  recurring issue related to the underlying condition or chronic medications. The literature search provided no  │
│  objective evidence to support this specific drug-event pair.                                                   │
│                                                                                                                 │
│  5.  **Confounding Factors**                                                                                    │
│      There are numerous and significant confounding factors in this case that provide strong alternative        │
│  explanations for the event 'Incoherent':                                                                       │
│      *   **Underlying Medical Condition:** The patient's indication is listed as Acute Lymphocytic Leukaemia    │
│  (ALL), a serious malignancy that can directly involve the central nervous system (CNS) or cause metabolic      │
│  disturbances leading to altered mental status and incoherence.                                                 │
│      *   **Polypharmacy and Concurrent Medications:** The patient is on a complex regimen of multiple           │
│  medications with known CNS effects. Plausible alternative causes include:                                      │
│          *   **AMITRIPTYLINE HYDROCHLORIDE:** A tricyclic antidepressant with strong anticholinergic and        │
│  sedative properties, which is a well-established cause of confusion, delirium, and cognitive impairment,       │
│  especially in elderly patients.                                                                                │
│          *   **XANAX (alprazolam):** A benzodiazepine known to cause sedation, confusion, and psychomotor       │
│  impairment, which can manifest as incoherence.                                                                 │
│          *   **PREDNISONE:** A corticosteroid that can cause a range of neuropsychiatric effects, including     │
│  confusion, delirium, and psychosis.                                                                            │
│          *   **PONATINIB:** A tyrosine kinase inhibitor used for ALL, which has known neurological side         │
│  effects.                                                                                                       │
│          *   Other potential contributors include LEXAPRO, antihypertensives (AMLODIPINE BESYLATE, LOSARTAN     │
│  POTASSIUM) which can cause hypotension-related confusion, and antibiotics like METRONIDAZOLE which are         │
│  associated with encephalopathy.                                                                                │
│                                                                                                                 │
│  6.  **Synthesis and Final Assessment**                                                                         │
│      The assessment of a causal relationship between FLOMAX and the event 'Incoherent' is severely limited by   │
│  missing data. The temporal relationship cannot be determined. There is no supporting evidence from the         │
│  provided literature search to establish biological plausibility. Furthermore, information from dechallenge or  │
│  rechallenge is absent. Most importantly, there are multiple, highly plausible alternative causes for the       │
│  patient's incoherence, including the CNS effects of the underlying Acute Lymphocytic Leukaemia and the         │
│  well-documented adverse profiles of numerous concurrent medications, particularly AMITRIPTYLINE, XANAX, and    │
│  PREDNISONE. Given the lack of any positive evidence supporting FLOMAX and the overwhelming presence of strong  │
│  confounding factors, a causal role for FLOMAX is highly unlikely. Therefore, the causality is assessed as      │
│  **LOW**.</t>
  </si>
  <si>
    <t>Incoherent: Symptom - Incoherence refers to disorganized or illogical speech that cannot be understood by others, which is a subjective experience reported by observers or the patient, and falls under psychiatric/neurological symptoms rather than objective measurable signs.</t>
  </si>
  <si>
    <t xml:space="preserve">Incoherent: Sign - Incoherence is an observable disturbance in speech or thought, assessed by a clinician, making it an objective sign. </t>
  </si>
  <si>
    <t>PONATINIB</t>
  </si>
  <si>
    <t xml:space="preserve">Agent: Pharmacovigilance Causality Specialist                                                                  │
│                                                                                                                 │
│  Final Answer:                                                                                                  │
│  **Comprehensive Causality Assessment for Balance disorder Associated with PONATINIB**                          │
│                                                                                                                 │
│  **FINAL PLAUSIBILITY RATING:** LOW                                                                             │
│                                                                                                                 │
│  **Detailed Causality Analysis:**                                                                               │
│                                                                                                                 │
│  **1. Temporal Plausibility**                                                                                   │
│  The patient, a 65-year-old male, began therapy with PONATINIB in July 2018. The 'Balance disorder' event       │
│  occurred on July 12, 2019, approximately 12 months after the initiation of therapy. While the drug was being   │
│  administered at the time of the event, the one-year latency period is long and does not suggest a classic,     │
│  acute drug-induced reaction. This extended timeframe weakens the temporal association, though it does not      │
│  entirely rule out a cumulative or long-term effect.                                                            │
│                                                                                                                 │
│  **2. Biological Plausibility**                                                                                 │
│  The provided literature summary for PONATINIB (PMID: 32145037, 41535610, 28058062) does not contain any        │
│  information linking the drug to 'Balance disorder' or related symptoms such as dizziness, vertigo, or ataxia.  │
│  The primary safety concerns highlighted in the literature are arterial occlusive events and cardiovascular     │
│  toxicities. While a cerebrovascular event could manifest with balance issues, the adverse event is not         │
│  described as such. Based strictly on the provided context, there is no known biological mechanism or           │
│  established clinical evidence to support this specific drug-event association.                                 │
│                                                                                                                 │
│  **3. Dechallenge/Rechallenge**                                                                                 │
│  The dechallenge result for PONATINIB is reported as 'U' (Unknown), and the rechallenge result is also 'U'      │
│  (Unknown). The therapy end date is missing, so it is unclear if the drug was stopped or the dose was adjusted  │
│  in response to the event. The absence of information on the effect of drug withdrawal (dechallenge) or         │
│  reintroduction (rechallenge) provides no evidence to support or refute a causal relationship. This is a        │
│  significant limitation in the assessment.                                                                      │
│                                                                                                                 │
│  **4. Objective Evidence**                                                                                      │
│  The case is a spontaneous report with limited clinical detail. There is no objective evidence provided, such   │
│  as neurological examination findings, imaging studies, or laboratory results, to characterize the 'Balance     │
│  disorder' or rule out other causes. Furthermore, the provided literature summary offers no supporting          │
│  evidence for this association.                                                                                 │
│                                                                                                                 │
│  **5. Confounding Factors**                                                                                     │
│  There are multiple significant confounding factors present in this case:                                       │
│  *   **Patient History:** The patient has a reported "History of Similar Reactions: Y," which strongly          │
│  suggests a pre-existing or recurrent condition independent of PONATINIB therapy. The patient's age (65) also   │
│  increases the baseline risk for balance-related issues.                                                        │
│  *   **Underlying Disease:** The patient's indication is Acute Lymphocytic Leukaemia, which can have            │
│  neurological complications, although none are specified here.                                                  │
│  *   **Concurrent Medications:** The patient is on numerous concomitant medications that are well-known to      │
│  cause balance disorder, dizziness, or ataxia. The most significant confounders include:                        │
│      *   **AMITRIPTYLINE HYDROCHLORIDE:** A tricyclic antidepressant with a strong association with dizziness   │
│  and ataxia, particularly in the elderly.                                                                       │
│      *   **XANAX (Alprazolam):** A benzodiazepine known to cause sedation, dizziness, and impaired              │
│  coordination.                                                                                                  │
│      *   **Antihypertensives (AMLODIPINE BESYLATE, LOSARTAN POTASSIUM):** Can cause dizziness due to effects    │
│  on blood pressure.                                                                                             │
│      *   **Other CNS-active agents (LEXAPRO, SUMATRIPTAN SUCCINATE):** Can cause dizziness as a side effect.    │
│      *   **Other medications (METRONIDAZOLE, BACTRIM, FLOMAX):** Also have dizziness or vertigo listed as       │
│  potential adverse effects.                                                                                     │
│  The presence of these multiple alternative etiological candidates makes it highly difficult to attribute the   │
│  event solely to PONATINIB.                                                                                     │
│                                                                                                                 │
│  **6. Synthesis and Final Assessment**                                                                          │
│  The overall evidence for a causal relationship between PONATINIB and 'Balance disorder' is weak. The temporal  │
│  association is not compelling due to the long latency of one year. There is no biological plausibility based   │
│  on the provided literature, which fails to list this as a known adverse event. The critical information from   │
│  dechallenge and rechallenge is unknown. Most importantly, the case is heavily confounded by the patient's      │
│  history of similar reactions and the concurrent use of multiple medications strongly associated with the       │
│  reported event, particularly Amitriptyline and Xanax. Given the lack of supporting evidence and the presence   │
│  of strong alternative explanations, it is unlikely that PONATINIB was the causative agent. Therefore, the      │
│  causality is assessed as LOW. </t>
  </si>
  <si>
    <t>Patient received Xanax, amitriptyline, Lexapro, and sumatriptan, all of which may contribute to CNS impairment and falls.</t>
  </si>
  <si>
    <t xml:space="preserve">Agent: Pharmacovigilance Causality Specialist                                                                  │
│                                                                                                                 │
│  Final Answer:                                                                                                  │
│  **Comprehensive Causality Assessment for Visual impairment Associated with PONATINIB**                         │
│                                                                                                                 │
│  **FINAL PLAUSIBILITY RATING:** LOW                                                                             │
│                                                                                                                 │
│  **Detailed Causality Analysis:**                                                                               │
│                                                                                                                 │
│  **1. Temporal Plausibility**                                                                                   │
│  The patient initiated PONATINIB therapy in July 2018. The adverse event, 'Visual impairment', occurred on      │
│  July 12, 2019. This establishes a latency of approximately one year between the start of the drug and the      │
│  onset of the event. The event occurred while the patient was actively receiving the medication (Therapy End:   │
│  MISSING). While a one-year latency is long, it can be plausible for certain chronic or cumulative toxicities.  │
│  Therefore, a temporal relationship exists, but it is not strongly suggestive of an acute reaction.             │
│                                                                                                                 │
│  **2. Biological Plausibility**                                                                                 │
│  The provided literature search for "PONATINIB" AND "Visual impairment" yielded zero articles. Based strictly   │
│  on the supplied context, there is no published clinical evidence or established mechanism of action linking    │
│  PONATINIB to the non-specific event of 'Visual impairment'. The summary notes that other tyrosine kinase       │
│  inhibitors (TKIs) may cause ocular toxicities through off-target effects (e.g., VEGFR inhibition), but this    │
│  is a theoretical class effect and not specific evidence for PONATINIB from the provided search. The lack of    │
│  supporting literature significantly weakens the biological plausibility.                                       │
│                                                                                                                 │
│  **3. Dechallenge/Rechallenge**                                                                                 │
│  - **Dechallenge Result:** U (Unknown). It is not known if stopping PONATINIB led to an improvement or          │
│  resolution of the visual impairment.                                                                           │
│  - **Rechallenge Result:** U (Unknown). It is not known if the patient was re-exposed to the drug and if the    │
│  event recurred.                                                                                                │
│  The absence of information on dechallenge and rechallenge prevents a key component of causality assessment     │
│  and significantly limits the ability to strengthen or weaken the association.                                  │
│                                                                                                                 │
│  **4. Objective Evidence**                                                                                      │
│  The report is limited in objective detail. 'Visual impairment' is a non-specific term, and no supporting       │
│  ophthalmological findings, visual acuity measurements, or diagnostic results are provided. A notable piece of  │
│  metadata is "History of Similar Reactions: Y," which indicates the patient has experienced this type of event  │
│  before. However, without context on the timing or circumstances of the prior event(s), it is impossible to     │
│  determine if it was related to PONATINIB or another cause.                                                     │
│                                                                                                                 │
│  **5. Confounding Factors**                                                                                     │
│  Confounding factors in this case are numerous and significant:                                                 │
│  - **Patient Factors:** The patient is 65 years old, an age at which the incidence of underlying ocular         │
│  conditions (e.g., cataracts, age-related macular degeneration, glaucoma) increases.                            │
│  - **Concurrent Medications:** The patient is on a large number of concomitant medications with known           │
│  potential to cause visual disturbances. These include, but are not limited to:                                 │
│      - **XDEMVY:** An ophthalmic solution, its use strongly suggests a pre-existing or concurrent ocular        │
│  condition (Demodex blepharitis).                                                                               │
│      - **PREDNISONE:** Well-known to cause cataracts and increased intraocular pressure.                        │
│      - **DOXYCYCLINE:** Associated with visual disturbances and pseudotumor cerebri.                            │
│      - **AMITRIPTYLINE HYDROCHLORIDE:** Can cause blurred vision due to anticholinergic effects.                │
│      - **SUMATRIPTAN SUCCINATE:** Associated with transient visual disturbances.                                │
│      - Multiple other drugs listed (AMLODIPINE, IBUPROFEN, DICLOFENAC) also carry warnings for visual side      │
│  effects.                                                                                                       │
│  The presence of these multiple alternative etiological candidates makes it extremely difficult to attribute    │
│  the event solely to PONATINIB.                                                                                 │
│                                                                                                                 │
│  **6. Synthesis and Final Assessment**                                                                          │
│  The assessment of a causal link between PONATINIB and 'Visual impairment' in this case is weak. While a        │
│  temporal relationship exists (the event occurred during treatment), it is undermined by a complete lack of     │
│  supporting evidence from the provided literature search. Furthermore, the assessment is severely limited by    │
│  unknown dechallenge/rechallenge results and the presence of powerful confounding factors. The patient's age,   │
│  a history of similar reactions, and especially the concurrent use of numerous medications known to affect      │
│  vision (including an ophthalmic-specific treatment, XDEMVY) provide strong alternative explanations for the    │
│  event.                                                                                                         │
│                                                                                                                 │
│  Given the absence of biological plausibility from the provided context and the overwhelming presence of        │
│  confounding variables, a causal relationship is considered unlikely.                                           │
│                                                                                                                 │
│  Therefore, the final causality rating is **LOW**.   </t>
  </si>
  <si>
    <t xml:space="preserve">Agent: Pharmacovigilance Causality Specialist                                                                  │
│                                                                                                                 │
│  Final Answer:                                                                                                  │
│  **Comprehensive Causality Assessment for Incoherent Associated with PONATINIB**                                │
│                                                                                                                 │
│  **FINAL PLAUSIBILITY RATING:** LOW                                                                             │
│                                                                                                                 │
│  **Detailed Causality Analysis:**                                                                               │
│                                                                                                                 │
│  **1. Temporal Plausibility**                                                                                   │
│                                                                                                                 │
│  The patient, a 65-year-old male, initiated PONATINIB therapy in July 2018. The adverse event 'Incoherent'      │
│  occurred on July 12, 2019, approximately one year after starting the drug. While adverse events can manifest   │
│  at any point during therapy, a one-year latency for an acute neurological event like incoherence weakens the   │
│  direct temporal association. However, a vascular occlusive event, a known risk of PONATINIB, can occur at any  │
│  time, making the timeframe possible but not strongly suggestive.                                               │
│                                                                                                                 │
│  **2. Biological Plausibility**                                                                                 │
│                                                                                                                 │
│  The provided literature summary indicates that a direct search for 'PONATINIB' and 'Incoherent' yielded no     │
│  results. The summary does not list incoherence, confusion, or delirium as primary, non-vascular adverse        │
│  effects. However, it strongly emphasizes that PONATINIB carries a **U.S. Boxed Warning** for serious and       │
│  fatal arterial and venous occlusive events, including **stroke**. A cerebrovascular accident (stroke) is a     │
│  well-established cause of acute-onset incoherence or aphasia. Therefore, an indirect biological mechanism      │
│  exists where PONATINIB could cause a stroke, which in turn manifests as incoherence. Without objective         │
│  evidence of such a vascular event, this mechanism remains speculative.                                         │
│                                                                                                                 │
│  **3. Dechallenge/Rechallenge**                                                                                 │
│                                                                                                                 │
│  -   **Dechallenge Result:** U (Unknown)                                                                        │
│  -   **Rechallenge Result:** U (Unknown)                                                                        │
│                                                                                                                 │
│  The causality assessment is severely limited by the lack of information on dechallenge and rechallenge. It is  │
│  unknown if the event 'Incoherent' resolved, improved, or persisted after PONATINIB was potentially stopped.    │
│  Similarly, it is unknown if the event would have recurred upon re-administration. The absence of this          │
│  critical information prevents the establishment of a clear drug-event relationship.                            │
│                                                                                                                 │
│  **4. Objective Evidence**                                                                                      │
│                                                                                                                 │
│  The primary evidence is the adverse event report itself. There is a lack of supporting clinical or diagnostic  │
│  data (e.g., brain imaging like CT/MRI, neurological exam findings) to characterize the event or establish a    │
│  specific etiology like a stroke. A critical piece of metadata is the patient's "History of Similar Reactions:  │
│  Y". This indicates that the patient has experienced similar episodes in the past, suggesting a recurring       │
│  underlying condition or a susceptibility to this type of reaction from other causes, which argues against      │
│  PONATINIB being the novel causative agent.                                                                     │
│                                                                                                                 │
│  **5. Confounding Factors**                                                                                     │
│                                                                                                                 │
│  There are multiple significant confounding factors in this case:                                               │
│                                                                                                                 │
│  -   **Underlying Disease:** Acute lymphocytic leukaemia can have central nervous system (CNS) involvement,     │
│  which could manifest with neurological symptoms.                                                               │
│  -   **Concurrent Medications:** The patient was on numerous medications with well-documented potential to      │
│  cause confusion, delirium, or incoherence, particularly in an elderly patient.                                 │
│      -   **Strong Confounders:**                                                                                │
│          -   **AMITRIPTYLINE HYDROCHLORIDE:** A tricyclic antidepressant with strong anticholinergic            │
│  properties known to cause confusion and delirium.                                                              │
│          -   **XANAX (Alprazolam):** A benzodiazepine known to cause sedation, confusion, and cognitive         │
│  impairment.                                                                                                    │
│          -   **PREDNISONE:** A corticosteroid that can cause psychiatric side effects, including delirium and   │
│  psychosis.                                                                                                     │
│      -   **Potential Confounders:** Several other medications listed, such as ACYCLOVIR, BACTRIM, and           │
│  METRONIDAZOLE, also have reported neurotoxic potential.                                                        │
│  -   **Polypharmacy:** The large number of concurrent drugs increases the risk of cumulative CNS effects and    │
│  drug-drug interactions.                                                                                        │
│  -   **Potential Acute Illness:** The use of 'DOPAMINE HYDROCHLORIDE AND DEXTROSE' suggests the patient may     │
│  have been experiencing a separate, acute, and severe medical event (e.g., sepsis, shock), which is a very      │
│  common cause of delirium or incoherence.                                                                       │
│                                                                                                                 │
│  **6. Synthesis and Final Assessment**                                                                          │
│                                                                                                                 │
│  The causal link between PONATINIB and the event 'Incoherent' is weak. The temporal relationship is not         │
│  compelling due to the one-year latency. While an indirect biological mechanism via a drug-induced stroke is    │
│  plausible, there is no objective evidence to support it. The assessment is critically hampered by unknown      │
│  dechallenge/rechallenge results. Most importantly, the case is heavily confounded by the patient's history of  │
│  similar reactions and the concurrent use of multiple medications (Amitriptyline, Xanax, Prednisone) that are   │
│  strongly associated with causing confusion and incoherence. The possibility that the event was caused by the   │
│  underlying disease or an intercurrent acute illness cannot be excluded.                                        │
│                                                                                                                 │
│  Given the overwhelming presence of strong alternative etiologies and the lack of positive evidence supporting  │
│  PONATINIB's role, the causality is rated as **LOW**. </t>
  </si>
  <si>
    <t>Patient received Xanax, amitriptyline, Lexapro, sumatriptan, all of which may contribute to CNS impairment and falls.</t>
  </si>
  <si>
    <t>AMITRIPTYLINE HYDROCHLORIDE</t>
  </si>
  <si>
    <t xml:space="preserve">Agent: Pharmacovigilance Causality Specialist                                                                  │
│                                                                                                                 │
│  Final Answer:                                                                                                  │
│  **Comprehensive Causality Assessment for BALANCE DISORDER Associated with AMITRIPTYLINE HYDROCHLORIDE**        │
│                                                                                                                 │
│  **FINAL PLAUSIBILITY RATING:** LOW                                                                             │
│                                                                                                                 │
│  **Detailed Causality Analysis:**                                                                               │
│                                                                                                                 │
│  1.  **Temporal Plausibility**                                                                                  │
│      The temporal relationship between the initiation of AMITRIPTYLINE HYDROCHLORIDE and the onset of the       │
│  'Balance disorder' cannot be assessed. The 'Therapy Start' date is marked as MISSING, while the 'Event Date'   │
│  is 20190712. Without a start date, the time to onset is unknown, which is a critical missing element for       │
│  establishing a causal link. This lack of information significantly weakens the case.                           │
│                                                                                                                 │
│  2.  **Biological Plausibility**                                                                                │
│      There is a plausible biological basis for this association. The provided literature summary, specifically  │
│  the Cochrane review (PMID: 27251337), notes that "dizziness" and "somnolence" are known side effects of        │
│  amitriptyline. Dizziness is a primary symptom and a direct contributor to a 'Balance disorder'.                │
│  Amitriptyline's known anticholinergic and antihistaminic properties can lead to central nervous system         │
│  effects like sedation and dizziness, as well as orthostatic hypotension, all of which can manifest as          │
│  impaired balance. Therefore, the reported event is consistent with the known pharmacological profile of the    │
│  drug.                                                                                                          │
│                                                                                                                 │
│  3.  **Dechallenge/Rechallenge**                                                                                │
│      Information regarding dechallenge and rechallenge is unavailable ('Dechallenge Result: MISSING',           │
│  'Rechallenge Result: MISSING'). There is no information on whether the 'Balance disorder' improved or          │
│  resolved after stopping amitriptyline (positive dechallenge) or if it recurred upon reintroduction (positive   │
│  rechallenge). The absence of this information prevents a key component of causality assessment from being      │
│  evaluated.                                                                                                     │
│                                                                                                                 │
│  4.  **Objective Evidence**                                                                                     │
│      The primary evidence is the spontaneous report itself. Supporting objective evidence comes from the        │
│  literature summary (PMID: 27251337), which identifies dizziness as a known side effect of amitriptyline. A     │
│  notable piece of patient metadata is the 'History of Similar Reactions: Y'. This suggests the patient may      │
│  have a predisposition to this type of event, potentially from previous exposure to this or a similar           │
│  medication. However, without further details on the prior reaction(s), its specific contribution to this case  │
│  is limited but suggestive.                                                                                     │
│                                                                                                                 │
│  5.  **Confounding Factors**                                                                                    │
│      This case is subject to significant confounding factors that challenge the attribution of causality to     │
│  amitriptyline alone:                                                                                           │
│      *   **Polypharmacy:** The patient was taking numerous concurrent medications known to cause dizziness,     │
│  vertigo, or balance issues. These include, but are not limited to, XANAX (alprazolam), LEXAPRO                 │
│  (escitalopram), AMLODIPINE BESYLATE, LOSARTAN POTASSIUM, SUMATRIPTAN SUCCINATE, and FLOMAX (tamsulosin). The   │
│  presence of these alternative etiological agents makes it difficult to isolate amitriptyline as the sole       │
│  cause.                                                                                                         │
│      *   **Patient Age:** At 65 years old, the patient is in an age group where the prevalence of balance       │
│  disorders increases due to natural physiological changes.                                                      │
│      *   **Underlying Conditions:** The indications for amitriptyline and the concurrent medications are        │
│  unknown. The patient's underlying medical conditions could be a primary cause or a contributing factor to the  │
│  'Balance disorder'.                                                                                            │
│                                                                                                                 │
│  6.  **Synthesis and Final Assessment**                                                                         │
│      The assessment of causality is significantly hindered by critical missing information, most notably the    │
│  lack of a temporal relationship (unknown start date) and the absence of dechallenge/rechallenge results.       │
│  While there is biological plausibility based on the known side effect profile of amitriptyline (dizziness,     │
│  per PMID: 27251337), and the patient's history of similar reactions is noted, these points are heavily         │
│  outweighed by major confounding factors. The concurrent use of multiple other medications with a strong        │
│  potential to cause balance disturbances (e.g., Xanax, Lexapro, antihypertensives) provides several viable      │
│  alternative explanations for the event.                                                                        │
│                                                                                                                 │
│      Given the inability to establish a temporal link and the presence of numerous strong confounders, it is    │
│  not possible to reasonably conclude that AMITRIPTYLINE HYDROCHLORIDE was the cause of the 'Balance disorder'.  │
│  Therefore, the causal relationship is rated as **LOW**. </t>
  </si>
  <si>
    <t>Patient received Xanax, Lexapro, sumatriptan, and ponatinib, all of which may contribute to CNS impairment and falls.</t>
  </si>
  <si>
    <t xml:space="preserve">Agent: Pharmacovigilance Causality Specialist                                                                  │
│                                                                                                                 │
│  Final Answer:                                                                                                  │
│  **Comprehensive Causality Assessment for Visual impairment Associated with AMITRIPTYLINE HYDROCHLORIDE**       │
│                                                                                                                 │
│  **FINAL PLAUSIBILITY RATING:** LOW                                                                             │
│                                                                                                                 │
│  **Detailed Causality Analysis:**                                                                               │
│                                                                                                                 │
│  **1. Temporal Plausibility**                                                                                   │
│  The temporal relationship between the administration of AMITRIPTYLINE HYDROCHLORIDE and the onset of 'Visual   │
│  impairment' cannot be established. The Therapy Start date for amitriptyline is MISSING. Without knowing when   │
│  the drug was initiated relative to the Event Date of 20190712, a temporal association cannot be confirmed or   │
│  refuted. This represents a significant weakness in the case evidence.                                          │
│                                                                                                                 │
│  **2. Biological Plausibility**                                                                                 │
│  There is strong biological plausibility for amitriptyline causing visual disturbances. As a tricyclic          │
│  antidepressant, amitriptyline possesses potent anticholinergic (muscarinic antagonist) properties. This        │
│  mechanism is well-known to cause ocular side effects, including:                                               │
│  *   **Cycloplegia (paralysis of the ciliary muscle):** This impairs accommodation for near vision, resulting   │
│  in blurred vision.                                                                                             │
│  *   **Mydriasis (pupil dilation):** This can lead to photophobia and potentially precipitate acute             │
│  angle-closure glaucoma in susceptible individuals.                                                             │
│  The provided literature summary supports this, citing a case report (PMID: 33923265) where a patient           │
│  experienced "blurred vision" as an adverse effect of amitriptyline, leading to treatment discontinuation.      │
│  This establishes that the event is consistent with the known pharmacological profile of the drug.              │
│                                                                                                                 │
│  **3. Dechallenge/Rechallenge**                                                                                 │
│  Information regarding dechallenge and rechallenge is absent.                                                   │
│  *   **Dechallenge Result:** MISSING                                                                            │
│  *   **Rechallenge Result:** MISSING                                                                            │
│  The lack of information on whether the 'Visual impairment' improved upon drug withdrawal (positive             │
│  dechallenge) or recurred upon reintroduction (positive rechallenge) severely limits the ability to strengthen  │
│  the causal link. While the patient has a "History of Similar Reactions: Y," it is unknown if this prior        │
│  reaction was to amitriptyline, diminishing the value of this information for the current assessment.           │
│                                                                                                                 │
│  **4. Objective Evidence**                                                                                      │
│  The report is a spontaneous case, and the event term 'Visual impairment' is non-specific. No objective         │
│  clinical data, such as results from an ophthalmological examination, visual acuity measurements, or            │
│  intraocular pressure readings, are provided to characterize the nature and severity of the event. The          │
│  evidence relies solely on the reporter's description.                                                          │
│                                                                                                                 │
│  **5. Confounding Factors**                                                                                     │
│  This case is significantly confounded by multiple alternative causes:                                          │
│  *   **Concurrent Medications:** The patient was taking numerous medications known to cause visual side         │
│  effects. Several are highly suspect:                                                                           │
│      *   **Ponatinib:** A tyrosine kinase inhibitor with a known risk of serious ocular toxicity, including     │
│  blurred vision and macular edema. The patient started this drug in 2018, prior to the event.                   │
│      *   **XDEMVY:** An ophthalmic solution, which acts directly on the eye and could be a primary cause of     │
│  ocular symptoms.                                                                                               │
│      *   **Prednisone:** A corticosteroid well-known for causing increased intraocular pressure (glaucoma) and  │
│  cataracts with long-term use.                                                                                  │
│      *   **Doxycycline / Doxycycline Hyclate:** Associated with visual disturbances and, more seriously,        │
│  papilledema secondary to pseudotumor cerebri.                                                                  │
│      *   **Lexapro (Escitalopram):** An SSRI that can also cause visual disturbances like blurred vision.       │
│      *   Other potential contributors include Sumatriptan, Amlodipine, Xanax, and Ibuprofen, all of which list  │
│  visual changes as possible side effects.                                                                       │
│  *   **Underlying Disease:** The patient's indications for therapy are MISSING. An underlying medical           │
│  condition could be the primary cause of the visual symptoms.                                                   │
│                                                                                                                 │
│  **6. Synthesis and Final Assessment**                                                                          │
│  While the reported 'Visual impairment' is biologically plausible and consistent with the known                 │
│  anticholinergic effects of AMITRIPTYLINE HYDROCHLORIDE (supported by PMID: 33923265), the case-specific        │
│  evidence is extremely weak. The assessment is critically hampered by the complete absence of a temporal        │
│  relationship, as the drug's start date is unknown. Furthermore, the lack of dechallenge or rechallenge         │
│  information prevents any observation of the event's response to drug withdrawal or re-administration.          │
│                                                                                                                 │
│  Most importantly, the presence of numerous highly plausible confounding medications—particularly Ponatinib,    │
│  the topical ophthalmic solution XDEMVY, and Prednisone—provides strong alternative explanations for the        │
│  event. Without further information to rule out these confounders and establish a clear timeline, it is not     │
│  possible to reasonably attribute causality to amitriptyline.                                                   │
│                                                                                                                 │
│  Therefore, based on the available data, the causal association between 'Visual impairment' and 'AMITRIPTYLINE  │
│  HYDROCHLORIDE' is rated as **LOW**.                                                                            │
│                                      </t>
  </si>
  <si>
    <t xml:space="preserve"> Agent: Pharmacovigilance Causality Specialist                                                                  │
│                                                                                                                 │
│  Final Answer:                                                                                                  │
│  **Comprehensive Causality Assessment for INCOHERENT Associated with AMITRIPTYLINE HYDROCHLORIDE**              │
│                                                                                                                 │
│  **FINAL PLAUSIBILITY RATING:** MEDIUM                                                                          │
│                                                                                                                 │
│  **Detailed Causality Analysis:**                                                                               │
│                                                                                                                 │
│  **1. Temporal Plausibility**                                                                                   │
│  The temporal relationship between the administration of AMITRIPTYLINE HYDROCHLORIDE and the onset of the       │
│  event 'Incoherent' cannot be assessed. The therapy start date is marked as 'MISSING', while the event date is  │
│  '20190712'. Without a start date, it is impossible to determine if the event occurred in a plausible           │
│  timeframe following drug initiation or a dose change. This lack of temporal information significantly weakens  │
│  the case.                                                                                                      │
│                                                                                                                 │
│  **2. Biological Plausibility**                                                                                 │
│  The biological plausibility for amitriptyline causing a state described as 'incoherent' is high. The provided  │
│  literature summary confirms that amitriptyline is a tricyclic antidepressant with potent central               │
│  anticholinergic properties. This mechanism is well-documented to cause adverse events such as delirium,        │
│  confusion, disorganized thinking, and memory impairment, which clinically manifest as incoherent speech and    │
│  thought. The patient's age of 65 places him in the elderly demographic, which is established as being highly   │
│  susceptible to the central nervous system side effects of anticholinergic medications due to factors like      │
│  reduced cholinergic reserve. The American Geriatrics Society Beers Criteria® specifically recommends avoiding  │
│  amitriptyline in this population for this reason.                                                              │
│                                                                                                                 │
│  **3. Dechallenge/Rechallenge**                                                                                 │
│  Information regarding dechallenge and rechallenge is unavailable ('Dechallenge Result: MISSING', 'Rechallenge  │
│  Result: MISSING'). A positive dechallenge (improvement of symptoms upon drug withdrawal) would have provided   │
│  strong evidence for a causal link. The absence of this information prevents a full assessment and is a major   │
│  limitation of this case.                                                                                       │
│                                                                                                                 │
│  **4. Objective Evidence**                                                                                      │
│  The primary evidence is the report of the event itself. A critical piece of supporting evidence is the         │
│  patient's 'History of Similar Reactions: Y'. This suggests a predisposition to this type of adverse event,     │
│  potentially from prior exposure to amitriptyline or other drugs with a similar pharmacological profile (e.g.,  │
│  anticholinergics), which strengthens the possibility of a causal relationship in this instance. The            │
│  literature summary provides robust mechanistic evidence supporting the potential for amitriptyline to induce   │
│  a state of incoherence via its anticholinergic effects, especially in an elderly patient.                      │
│                                                                                                                 │
│  **5. Confounding Factors**                                                                                     │
│  This case is significantly confounded by polypharmacy and likely underlying medical conditions. Several        │
│  concurrent medications are known to cause or contribute to confusion, delirium, or incoherence:                │
│  *   **XANAX (Alprazolam):** A benzodiazepine with strong sedative effects, known to cause confusion and        │
│  cognitive impairment, particularly in the elderly.                                                             │
│  *   **PREDNISONE:** A corticosteroid well-known for causing psychiatric side effects, including delirium and   │
│  psychosis ("steroid psychosis").                                                                               │
│  *   **LEXAPRO (Escitalopram):** An SSRI that can cause confusion. When combined with amitriptyline and         │
│  sumatriptan, it increases the risk of serotonin syndrome, a condition whose symptoms include confusion and     │
│  agitation.                                                                                                     │
│  *   **ACYCLOVIR, BACTRIM, METRONIDAZOLE:** These antimicrobials are all associated with potential              │
│  neurotoxicity, including encephalopathy and confusion.                                                         │
│  *   **DOPAMINE HYDROCHLORIDE AND DEXTROSE:** The use of this medication suggests a serious, acute underlying   │
│  medical condition, possibly requiring hospitalization. Delirium is extremely common in acutely ill patients,   │
│  and the underlying illness itself is a major potential cause for the patient's incoherence.                    │
│                                                                                                                 │
│  The cumulative anticholinergic and sedative burden from multiple medications, combined with the patient's      │
│  unknown underlying medical status, makes it difficult to isolate amitriptyline as the sole causative agent.    │
│                                                                                                                 │
│  **6. Synthesis and Final Assessment**                                                                          │
│  There is a strong biological basis for AMITRIPTYLINE HYDROCHLORIDE causing 'Incoherent' in this 65-year-old    │
│  patient, supported by its known anticholinergic mechanism and the patient's positive history of similar        │
│  reactions. However, the assessment is severely limited by the complete absence of temporal and                 │
│  dechallenge/rechallenge information. Furthermore, the presence of numerous, potent confounding medications     │
│  (e.g., Xanax, Prednisone) and the high likelihood of a severe underlying illness (suggested by dopamine use)   │
│  provide strong alternative explanations for the event. While amitriptyline could have caused or contributed    │
│  to the event, the contribution of these other factors cannot be ruled out. Therefore, a causality rating of    │
│  **MEDIUM** is most appropriate, reflecting that the drug is a plausible cause but other factors cannot be      │
│  excluded. </t>
  </si>
  <si>
    <t>SUMATRIPTAN SUCCINATE</t>
  </si>
  <si>
    <t xml:space="preserve"> Agent: Pharmacovigilance Causality Specialist                                                                  │
│                                                                                                                 │
│  Final Answer:                                                                                                  │
│  **Comprehensive Causality Assessment for BALANCE DISORDER Associated with SUMATRIPTAN SUCCINATE**              │
│                                                                                                                 │
│  **FINAL PLAUSIBILITY RATING:** LOW                                                                             │
│                                                                                                                 │
│  **Detailed Causality Analysis:**                                                                               │
│                                                                                                                 │
│  **1. Temporal Plausibility**                                                                                   │
│  The temporal relationship between the administration of SUMATRIPTAN SUCCINATE and the onset of 'Balance        │
│  disorder' cannot be assessed. The Therapy Start date for the drug is marked as 'MISSING', while the Event      │
│  Date is listed as 20190712. Without a known start date, it is impossible to determine if the event occurred    │
│  in a plausible timeframe following drug administration. This lack of temporal data significantly weakens the   │
│  case for a causal association.                                                                                 │
│                                                                                                                 │
│  **2. Biological Plausibility**                                                                                 │
│  Based on the provided literature summary (PMID: 23786565, 21350792), there is no information to support a      │
│  biological mechanism for SUMATRIPTAN SUCCINATE causing 'Balance disorder'. The supplied articles discuss the   │
│  efficacy, formulations, and general tolerability of sumatriptan for migraine treatment but do not mention      │
│  'Balance disorder' or related vestibular symptoms as a known adverse event. Therefore, biological              │
│  plausibility is not established from the given context.                                                        │
│                                                                                                                 │
│  **3. Dechallenge/Rechallenge**                                                                                 │
│  Information regarding dechallenge and rechallenge is unavailable. The 'Dechallenge Result' and 'Rechallenge    │
│  Result' for SUMATRIPTAN SUCCINATE are both 'MISSING'. While the patient metadata indicates a "History of       │
│  Similar Reactions: Y", which could suggest a previous positive rechallenge, this is not explicitly documented  │
│  for this specific event and lacks the necessary detail to be considered a formal positive rechallenge. The     │
│  absence of dechallenge/rechallenge information is a critical data gap that prevents a stronger assessment of   │
│  causality.                                                                                                     │
│                                                                                                                 │
│  **4. Objective Evidence**                                                                                      │
│  There is no objective evidence provided to support the reported association. The assessment relies solely on   │
│  the initial report. The clinical evidence summary, which references two specific articles (PMID: 23786565 and  │
│  PMID: 21350792), explicitly states that there is no mention of 'Balance disorder' in relation to sumatriptan   │
│  use.                                                                                                           │
│                                                                                                                 │
│  **5. Confounding Factors**                                                                                     │
│  Numerous significant confounding factors are present, providing strong alternative explanations for the        │
│  'Balance disorder'.                                                                                            │
│  *   **Patient Factors:** The patient is 65 years old, an age where balance issues can become more prevalent.   │
│  The underlying indication for sumatriptan is likely migraine, a condition that can itself be associated with   │
│  vestibular symptoms and balance disturbances.                                                                  │
│  *   **Concurrent Medications:** The patient was taking multiple medications known to cause dizziness,          │
│  vertigo, or ataxia, which can manifest as a balance disorder. These include, but are not limited to:           │
│      *   **AMITRIPTYLINE HYDROCHLORIDE:** Well-known to cause dizziness and ataxia.                             │
│      *   **XANAX (Alprazolam):** Known to cause dizziness, drowsiness, and impaired coordination.               │
│      *   **LEXAPRO (Escitalopram):** Can cause dizziness as a side effect.                                      │
│      *   **AMLODIPINE BESYLATE / LOSARTAN POTASSIUM:** Antihypertensives that can cause dizziness,              │
│  particularly from orthostatic hypotension.                                                                     │
│      *   **METRONIDAZOLE:** Can cause dizziness and vertigo.                                                    │
│      *   **PONATINIB:** Dizziness is a listed adverse reaction.                                                 │
│      The presence of these concomitant drugs makes it difficult to isolate SUMATRIPTAN SUCCINATE as the sole    │
│  causative agent.                                                                                               │
│                                                                                                                 │
│  **6. Synthesis and Final Assessment**                                                                          │
│  The overall causality assessment for SUMATRIPTAN SUCCINATE causing 'Balance disorder' is **LOW**. This         │
│  conclusion is based on several major weaknesses in the case: a complete lack of a known temporal               │
│  relationship, no supporting biological plausibility from the provided literature, and no information on        │
│  dechallenge or rechallenge. Furthermore, the presence of multiple, highly plausible confounding factors,       │
│  especially concurrent medications with well-established links to balance-related side effects, provides        │
│  strong alternative etiologies for the event. The patient's "History of Similar Reactions" is noted but is      │
│  insufficient to overcome the extensive missing information and the strength of the confounding variables.      │
│   </t>
  </si>
  <si>
    <t xml:space="preserve">Agent: Pharmacovigilance Causality Specialist                                                                  │
│                                                                                                                 │
│  Final Answer:                                                                                                  │
│  **Comprehensive Causality Assessment for VISUAL IMPAIRMENT Associated with SUMATRIPTAN SUCCINATE**             │
│                                                                                                                 │
│  **FINAL PLAUSIBILITY RATING:** LOW                                                                             │
│                                                                                                                 │
│  **Detailed Causality Analysis:**                                                                               │
│                                                                                                                 │
│  **1. Temporal Plausibility**                                                                                   │
│  The temporal relationship between the administration of SUMATRIPTAN SUCCINATE and the onset of 'Visual         │
│  impairment' cannot be established. The therapy start date for sumatriptan is marked as 'MISSING'. While the    │
│  event date is provided (20190712), the absence of a drug administration date makes it impossible to determine  │
│  if the event occurred in a plausible timeframe following exposure. This lack of a clear temporal sequence      │
│  significantly weakens the potential association.                                                               │
│                                                                                                                 │
│  **2. Biological Plausibility**                                                                                 │
│  Based on the provided literature summary, there is no biological plausibility to support this association.     │
│  The clinical evidence from three articles (PMID: 30112725, PMID: 23633350, PMID: 23633349) does not list       │
│  'Visual impairment' as a treatment-emergent adverse event for sumatriptan. In fact, one study (PMID:           │
│  30112725) demonstrated that sumatriptan was effective in *relieving* visual symptoms associated with           │
│  migraine, specifically photophobia. The underlying indication for sumatriptan is likely migraine, a condition  │
│  which itself can present with visual disturbances (aura), confounding the event attribution. Therefore, the    │
│  available evidence does not support a plausible biological mechanism for sumatriptan causing visual            │
│  impairment.                                                                                                    │
│                                                                                                                 │
│  **3. Dechallenge/Rechallenge**                                                                                 │
│  Information regarding dechallenge and rechallenge is unavailable. The 'Dechallenge Result' and 'Rechallenge    │
│  Result' for SUMATRIPTAN SUCCINATE are both listed as 'MISSING'. Consequently, the effect of drug withdrawal    │
│  or reintroduction on the adverse event cannot be assessed, and this critical component of causality            │
│  assessment does not support the case.                                                                          │
│                                                                                                                 │
│  **4. Objective Evidence**                                                                                      │
│  The objective evidence available does not support a causal link. The patient has a reported "History of        │
│  Similar Reactions: Y," which could suggest a recurring underlying issue, such as migraine with aura, rather    │
│  than a drug-induced effect. Furthermore, the provided literature summary (PMIDs: 30112725, 23633350,           │
│  23633349) contains no reports of 'Visual impairment' as an adverse event, weakening the association from a     │
│  class or known-effect perspective based on the context provided.                                               │
│                                                                                                                 │
│  **5. Confounding Factors**                                                                                     │
│  There are numerous and significant confounding factors in this case:                                           │
│  *   **Underlying Condition:** The most probable indication for sumatriptan is migraine. Migraine,              │
│  particularly with aura, is a primary alternative cause for visual impairment and disturbances.                 │
│  *   **Patient Demographics:** The patient is 65 years old, an age where other ophthalmologic conditions        │
│  (e.g., cataracts, glaucoma, age-related macular degeneration) become more prevalent.                           │
│  *   **Concurrent Medications:** The patient is on multiple medications with known ocular side effects.         │
│  Several are strong confounders:                                                                                │
│      *   **PONATINIB:** Known to cause serious ocular toxicity. The patient was on this therapy for a year      │
│  prior to the event.                                                                                            │
│      *   **XDEMVY:** An ophthalmic solution, indicating a pre-existing or concurrent eye condition.             │
│      *   **PREDNISONE:** Associated with cataracts and glaucoma with long-term use.                             │
│      *   **DOXYCYCLINE / DOXYCYCLINE HYCLATE:** Can cause visual disturbances and pseudotumor cerebri.          │
│      *   Other potential confounders include: IBUPROFEN, DICLOFENAC SODIUM, AMITRIPTYLINE HYDROCHLORIDE,        │
│  AMLODIPINE BESYLATE, and LOSARTAN POTASSIUM, all of which have visual disturbances listed as possible side     │
│  effects.                                                                                                       │
│                                                                                                                 │
│  **6. Synthesis and Final Assessment**                                                                          │
│  The overall assessment suggests that a causal relationship between SUMATRIPTAN SUCCINATE and 'Visual           │
│  impairment' is unlikely. The case is severely limited by missing critical information, most notably the lack   │
│  of a temporal relationship and any dechallenge/rechallenge data. The provided clinical literature not only     │
│  fails to support the association but suggests sumatriptan may alleviate visual symptoms of migraine. Most      │
│  importantly, there are multiple, strong confounding factors, including the patient's underlying condition      │
│  (likely migraine), age, and numerous concurrent medications with well-documented ocular toxicity (especially   │
│  Ponatinib). Given the absence of positive evidence and the presence of highly plausible alternative            │
│  explanations, the causality is rated as **LOW**. </t>
  </si>
  <si>
    <t xml:space="preserve">Agent: Pharmacovigilance Causality Specialist                                                                  │
│                                                                                                                 │
│  Final Answer:                                                                                                  │
│  **Comprehensive Causality Assessment for Incoherent Associated with SUMATRIPTAN SUCCINATE**                    │
│                                                                                                                 │
│  **FINAL PLAUSIBILITY RATING:** LOW                                                                             │
│                                                                                                                 │
│  **Detailed Causality Analysis:**                                                                               │
│                                                                                                                 │
│  **1. Temporal Plausibility**                                                                                   │
│  The temporal relationship between the administration of SUMATRIPTAN SUCCINATE and the onset of the event       │
│  'Incoherent' cannot be assessed. The 'Therapy Start' date is marked as 'MISSING'. While the 'Event Date' is    │
│  provided (20190712), without knowing when the drug was taken, it is impossible to determine if a plausible     │
│  time-to-onset exists. The lack of this critical information significantly weakens any potential causal         │
│  association.                                                                                                   │
│                                                                                                                 │
│  **2. Biological Plausibility**                                                                                 │
│  The biological plausibility for SUMATRIPTAN SUCCINATE causing 'Incoherent' is weak based on the provided       │
│  information. The literature summary explicitly states that a PubMed query for 'SUMATRIPTAN SUCCINATE AND       │
│  Incoherent' yielded 0 articles. This indicates a lack of published clinical evidence directly linking the      │
│  drug to this specific adverse event term. While the summary notes that sumatriptan's mechanism involves        │
│  agonism of 5-HT1B/1D receptors and lists common side effects like dizziness, there is no direct evidence       │
│  provided to support a link to a more severe cognitive event like 'incoherent'. The event may represent a       │
│  non-standard term for confusion or delirium, but without supporting literature, the biological plausibility    │
│  remains low.                                                                                                   │
│                                                                                                                 │
│  **3. Dechallenge/Rechallenge**                                                                                 │
│  Information regarding dechallenge and rechallenge is unavailable ('Dechallenge Result: MISSING', 'Rechallenge  │
│  Result: MISSING'). It is unknown if the event 'Incoherent' subsided after discontinuing SUMATRIPTAN SUCCINATE  │
│  (positive dechallenge) or if it recurred upon re-administration of the drug (positive rechallenge). The        │
│  absence of this information prevents a key component of causality assessment from being evaluated.             │
│                                                                                                                 │
│  **4. Objective Evidence**                                                                                      │
│  The primary piece of objective evidence supporting a potential association is the patient's 'History of        │
│  Similar Reactions: Y'. This suggests the patient has experienced this type of event before, potentially in     │
│  relation to a drug exposure. However, the report does not specify if the previous reaction was associated      │
│  with SUMATRIPTAN SUCCINATE. Conversely, the lack of any supporting literature (0 PMIDs found) serves as        │
│  strong evidence against the association.                                                                       │
│                                                                                                                 │
│  **5. Confounding Factors**                                                                                     │
│  There are numerous and significant confounding factors in this case that provide strong alternative            │
│  explanations for the event 'Incoherent':                                                                       │
│  *   **Polypharmacy:** The patient is on at least 17 concurrent medications.                                    │
│  *   **Concomitant CNS-Active Drugs:** Several of the patient's medications are well-known to cause confusion,  │
│  delirium, or cognitive impairment, especially in a 65-year-old individual. These include:                      │
│      *   **AMITRIPTYLINE HYDROCHLORIDE:** A tricyclic antidepressant with strong anticholinergic properties, a  │
│  classic cause of confusion and delirium in the elderly.                                                        │
│      *   **XANAX (Alprazolam):** A benzodiazepine known to cause sedation and cognitive impairment.             │
│      *   **LEXAPRO (Escitalopram):** An SSRI that can cause confusion.                                          │
│      *   **PREDNISONE:** A corticosteroid that can induce psychiatric side effects, including confusion and     │
│  psychosis.                                                                                                     │
│  *   **Other Confounding Medications:** Several other concurrent drugs, such as ACYCLOVIR, BACTRIM, and         │
│  METRONIDAZOLE, can also cause CNS side effects, including confusion.                                           │
│  *   **Patient Age:** At 65 years old, the patient is at an increased risk for drug-induced cognitive adverse   │
│  events.                                                                                                        │
│  *   **Underlying Conditions:** The patient's extensive medication list suggests multiple underlying medical    │
│  conditions (e.g., infections, inflammation, potential malignancy given PONATINIB), any of which could          │
│  contribute to or directly cause a state of incoherence.                                                        │
│                                                                                                                 │
│  **6. Synthesis and Final Assessment**                                                                          │
│  The overall causality assessment for SUMATRIPTAN SUCCINATE causing 'Incoherent' is **LOW**.                    │
│                                                                                                                 │
│  This conclusion is based on the profound lack of supportive evidence and the overwhelming presence of          │
│  alternative causes. The temporal relationship cannot be established due to missing data. There is no           │
│  dechallenge or rechallenge information. The provided literature search found no evidence linking sumatriptan   │
│  to this event. The only factor weakly in favor is a non-specific 'History of Similar Reactions'.               │
│                                                                                                                 │
│  Conversely, the patient is taking multiple medications (Amitriptyline, Xanax, Prednisone) that are highly      │
│  plausible and well-documented causes of confusion and incoherence, particularly in this age group. The         │
│  patient's polypharmacy and likely complex medical history are far more probable explanations for the reported  │
│  event. Therefore, a causal link to SUMATRIPTAN SUCCINATE is considered unlikely. </t>
  </si>
  <si>
    <t>XDEMVY</t>
  </si>
  <si>
    <t xml:space="preserve">Agent: Pharmacovigilance Causality Specialist                                                                  │
│                                                                                                                 │
│  Final Answer:                                                                                                  │
│  **Comprehensive Causality Assessment for Balance disorder Associated with XDEMVY**                             │
│                                                                                                                 │
│  **FINAL PLAUSIBILITY RATING:** LOW                                                                             │
│                                                                                                                 │
│  **Detailed Causality Analysis:**                                                                               │
│                                                                                                                 │
│  **1. Temporal Plausibility**                                                                                   │
│  The assessment of a temporal relationship is impossible due to critical missing information. The therapy       │
│  start date for XDEMVY is not provided. Without this information, it cannot be determined if the                │
│  administration of the drug preceded the onset of the 'Balance disorder' on the event date of 20190712.         │
│  Furthermore, the event date of July 2019 predates the pivotal clinical trials for XDEMVY (Saturn-1 and         │
│  Saturn-2, which began in 2020) and its subsequent market approval. This anachronism makes a temporal           │
│  association highly improbable, suggesting a data entry error or that the patient was not taking the suspect    │
│  drug.                                                                                                          │
│                                                                                                                 │
│  **2. Biological Plausibility**                                                                                 │
│  There is no known biological mechanism to support a causal link between XDEMVY and a balance disorder.         │
│  According to the provided summary, XDEMVY (lotilaner) is a topical ophthalmic solution with minimal systemic   │
│  absorption. Its mechanism of action involves the selective inhibition of GABA-gated chloride channels in       │
│  invertebrates (*Demodex* mites), with high selectivity for these targets over mammalian receptors. A           │
│  localized, topical ectoparasiticide is not expected to cause systemic neurological adverse events such as a    │
│  balance disorder.                                                                                              │
│                                                                                                                 │
│  **3. Dechallenge/Rechallenge**                                                                                 │
│  Information regarding dechallenge and rechallenge is unavailable (Dechallenge Result: MISSING; Rechallenge     │
│  Result: MISSING). Therefore, this criterion cannot be used to support or refute a causal relationship in this  │
│  case.                                                                                                          │
│                                                                                                                 │
│  **4. Objective Evidence**                                                                                      │
│  There is no objective evidence to support this drug-event association. The provided literature summary         │
│  explicitly states that a PubMed search for "XDEMVY AND Balance disorder" yielded 0 articles. Furthermore, the  │
│  safety profile established in the large-scale pivotal clinical trials (Saturn-1 and Saturn-2) did not          │
│  identify balance disorders as a safety signal. The most common reported adverse events were localized to the   │
│  site of application (e.g., instillation site stinging and burning).                                            │
│                                                                                                                 │
│  **5. Confounding Factors**                                                                                     │
│  Multiple significant confounding factors are present which provide strong alternative explanations for the     │
│  event:                                                                                                         │
│  *   **Patient's Medical History:** The patient has a reported "History of Similar Reactions: Y," indicating a  │
│  pre-existing or recurrent issue with balance, independent of XDEMVY exposure.                                  │
│  *   **Concurrent Medications:** The patient was taking numerous medications known to cause dizziness,          │
│  vertigo, or balance disorders. These include, but are not limited to:                                          │
│      *   **Amitriptyline Hydrochloride:** A tricyclic antidepressant with well-known side effects of dizziness  │
│  and ataxia.                                                                                                    │
│      *   **Xanax (Alprazolam):** A benzodiazepine that commonly causes CNS depression, leading to dizziness     │
│  and lightheadedness.                                                                                           │
│      *   **Flomax (Tamsulosin):** An alpha-blocker known to cause dizziness and orthostatic hypotension.        │
│      *   **Metronidazole:** An antibiotic with documented neurological side effects, including dizziness,       │
│  vertigo, and ataxia.                                                                                           │
│      *   **Sumatriptan Succinate:** Used for migraines, with dizziness and vertigo as common side effects.      │
│      *   Other potential contributors include Amlodipine Besylate, Losartan Potassium, and Lexapro.             │
│                                                                                                                 │
│  The presence of these medications, combined with the patient's history, constitutes a very high likelihood of  │
│  an alternative etiology for the balance disorder.                                                              │
│                                                                                                                 │
│  **6. Synthesis and Final Assessment**                                                                          │
│  The causality assessment for XDEMVY causing 'Balance disorder' is rated as LOW. This conclusion is based on    │
│  the overwhelming evidence against a causal link. There is a lack of a plausible temporal relationship, with    │
│  the event date preceding the drug's known availability. There is no biological plausibility for a topical      │
│  ophthalmic solution with a targeted invertebrate-specific mechanism to cause a systemic neurological event.    │
│  This is further supported by a complete absence of evidence from published literature or the drug's clinical   │
│  trial safety database. Most importantly, there are multiple, strong confounding factors, including a positive  │
│  patient history for the event and the concomitant use of several medications strongly associated with balance  │
│  disorders. The event is much more likely attributable to the patient's underlying condition or one or more of  │
│  the concurrent medications.                                                                                    │
│                              </t>
  </si>
  <si>
    <t xml:space="preserve">Agent: Pharmacovigilance Causality Specialist                                                                  │
│                                                                                                                 │
│  Final Answer:                                                                                                  │
│  **Comprehensive Causality Assessment for Visual impairment Associated with XDEMVY**                            │
│                                                                                                                 │
│  **FINAL PLAUSIBILITY RATING:** LOW                                                                             │
│                                                                                                                 │
│  **Detailed Causality Analysis:**                                                                               │
│                                                                                                                 │
│  **1. Temporal Plausibility**                                                                                   │
│                                                                                                                 │
│  The temporal relationship between the administration of XDEMVY and the onset of 'Visual impairment' cannot be  │
│  assessed. The event date is recorded as 12-JUL-2019, but the therapy start and end dates for XDEMVY are        │
│  marked as 'MISSING'. Without a start date for the suspect drug, it is impossible to establish a plausible      │
│  time-to-onset, which is a critical component of a causality assessment. Therefore, the temporal plausibility   │
│  is indeterminate.                                                                                              │
│                                                                                                                 │
│  **2. Biological Plausibility**                                                                                 │
│                                                                                                                 │
│  There is no known biological plausibility for XDEMVY causing 'Visual impairment'.                              │
│                                                                                                                 │
│  *   **Mechanism of Action:** As per the provided literature summary, XDEMVY's active ingredient, lotilaner,    │
│  is an ectoparasiticide that selectively inhibits GABA-gated chloride channels in *Demodex* mites. This         │
│  mechanism is highly selective for the invertebrate nervous system and has a low affinity for mammalian         │
│  receptors. It is not expected to have a direct pharmacological effect on human ocular structures that would    │
│  lead to visual impairment.                                                                                     │
│  *   **Clinical Evidence:** The literature search yielded 0 articles linking XDEMVY to visual impairment.       │
│  Furthermore, data from the pivotal Saturn-1 and Saturn-2 clinical trials did not identify visual impairment    │
│  as a common adverse reaction. The most common reported adverse event was localized instillation site stinging  │
│  and burning (10%).                                                                                             │
│  *   **Underlying Condition:** The indication for XDEMVY is *Demodex* blepharitis, a condition that can itself  │
│  cause symptoms of blurred or fluctuating vision due to tear film instability and ocular surface inflammation.  │
│  Treatment is intended to alleviate these symptoms.                                                             │
│                                                                                                                 │
│  Based on the available evidence, a direct causal link is biologically implausible.                             │
│                                                                                                                 │
│  **3. Dechallenge/Rechallenge**                                                                                 │
│                                                                                                                 │
│  Information regarding dechallenge and rechallenge is unavailable for XDEMVY.                                   │
│                                                                                                                 │
│  *   **Dechallenge Result:** MISSING                                                                            │
│  *   **Rechallenge Result:** MISSING                                                                            │
│                                                                                                                 │
│  The absence of dechallenge/rechallenge data means that no conclusions can be drawn from the event's course     │
│  after stopping or re-introducing the drug.                                                                     │
│                                                                                                                 │
│  **4. Objective Evidence**                                                                                      │
│                                                                                                                 │
│  There is no objective evidence from the provided context to support a causal association.                      │
│                                                                                                                 │
│  *   **Literature Evidence:** A PubMed search for 'XDEMVY' AND 'Visual impairment' yielded 0 articles. This     │
│  indicates a lack of published case reports or studies describing this association.                             │
│  *   **Product Labeling/Clinical Trials:** The safety profile established in the pivotal clinical trials for    │
│  XDEMVY does not list visual impairment as a common adverse event.                                              │
│                                                                                                                 │
│  **5. Confounding Factors**                                                                                     │
│                                                                                                                 │
│  Multiple significant confounding factors are present in this case, providing strong alternative explanations   │
│  for the event of 'Visual impairment'.                                                                          │
│                                                                                                                 │
│  *   **Patient History:** The patient has a reported "History of Similar Reactions: Y," suggesting a            │
│  pre-existing or recurrent condition independent of XDEMVY therapy.                                             │
│  *   **Concurrent Medications:** The patient was taking numerous medications with known or potential ocular     │
│  side effects. The most significant are:                                                                        │
│      *   **PONATINIB:** This tyrosine kinase inhibitor is strongly associated with serious ocular toxicities,   │
│  including macular edema, retinal vascular occlusion, and blurred vision. The patient started this medication   │
│  in July 2018, one year prior to the event, making it a highly plausible cause.                                 │
│      *   **PREDNISONE:** Long-term use of corticosteroids is a well-established cause of posterior subcapsular  │
│  cataracts and increased intraocular pressure (glaucoma), both of which lead to visual impairment.              │
│      *   **DOXYCYCLINE:** This antibiotic is associated with pseudotumor cerebri (idiopathic intracranial       │
│  hypertension), a condition that can cause papilledema and subsequent visual impairment.                        │
│      *   **Other Potential Confounders:** Other medications such as SUMATRIPTAN (used for migraines, which can  │
│  have visual aura), AMITRIPTYLINE, and NSAIDs (DICLOFENAC SODIUM, IBUPROFEN) have also been associated with     │
│  visual disturbances.                                                                                           │
│                                                                                                                 │
│  **6. Synthesis and Final Assessment**                                                                          │
│                                                                                                                 │
│  The overall causality assessment for XDEMVY causing 'Visual impairment' in this 65-year-old male patient is    │
│  **LOW**.                                                                                                       │
│                                                                                                                 │
│  This conclusion is based on a comprehensive evaluation of the available data. The temporal relationship is     │
│  indeterminate due to missing drug administration dates. There is no biological plausibility based on the       │
│  drug's mechanism of action, and no supporting evidence from clinical trials or published literature (PMIDs:    │
│  None found). Most importantly, the case is heavily confounded by a patient history of similar reactions and    │
│  the concurrent use of multiple medications, particularly Ponatinib and Prednisone, which have well-documented  │
│  and strong associations with serious ocular adverse events. These alternative etiologies are far more likely   │
│  to be the cause of the patient's visual impairment than the suspect drug, XDEMVY.   </t>
  </si>
  <si>
    <t>ACYCLOVIR</t>
  </si>
  <si>
    <t xml:space="preserve">Agent: Pharmacovigilance Causality Specialist                                                                  │
│                                                                                                                 │
│  Final Answer:                                                                                                  │
│  **Comprehensive Causality Assessment for Balance disorder Associated with ACYCLOVIR**                          │
│                                                                                                                 │
│  **FINAL PLAUSIBILITY RATING:** LOW                                                                             │
│                                                                                                                 │
│  **Detailed Causality Analysis:**                                                                               │
│                                                                                                                 │
│  1.  **Temporal Plausibility**                                                                                  │
│      The assessment of a temporal relationship is not possible due to missing critical information. The         │
│  Therapy Start and Therapy End dates for ACYCLOVIR are marked as 'MISSING'. Without knowing when the drug was   │
│  started relative to the Event Date of 20190712, a temporal connection cannot be established or refuted. This   │
│  represents a significant limitation in the case assessment.                                                    │
│                                                                                                                 │
│  2.  **Biological Plausibility**                                                                                │
│      The provided literature summary offers no direct evidence to support a causal link between ACYCLOVIR and   │
│  'Balance disorder'.                                                                                            │
│      *   **PMID: 39428714:** This study did not evaluate 'Balance disorder' as an outcome. It investigated a    │
│  composite outcome of encephalopathy or acute kidney injury (AKI) in older adults with chronic kidney disease.  │
│  While encephalopathy can present with symptoms affecting balance, the study's primary analysis did not find    │
│  an increased risk for this composite outcome with higher acyclovir doses. Therefore, this article provides     │
│  only a weak and indirect potential association.                                                                │
│      *   **PMID: 9071221:** This article is not relevant as it pertains to ganciclovir in an animal model       │
│  (rabbit eyes) and does not provide any information on systemic adverse events in humans treated with           │
│  acyclovir.                                                                                                     │
│      Based on the provided context, the biological plausibility is weak and not directly supported by the       │
│  literature.                                                                                                    │
│                                                                                                                 │
│  3.  **Dechallenge/Rechallenge**                                                                                │
│      The case provides no information on the effect of drug withdrawal or re-administration.                    │
│      *   **Dechallenge Result:** MISSING                                                                        │
│      *   **Rechallenge Result:** MISSING                                                                        │
│      The absence of dechallenge and rechallenge data prevents the use of these important criteria in            │
│  strengthening or weakening the causality assessment.                                                           │
│                                                                                                                 │
│  4.  **Objective Evidence**                                                                                     │
│      The case involves a 65-year-old male patient. A key piece of metadata is the "History of Similar           │
│  Reactions: Y". This suggests the patient may have a predisposition to this type of event; however, without     │
│  details on the circumstances of the previous reaction(s), including any associated medications, its specific   │
│  relevance to ACYCLOVIR cannot be determined. No other objective clinical or diagnostic data is provided.       │
│                                                                                                                 │
│  5.  **Confounding Factors**                                                                                    │
│      There are numerous significant confounding factors present in this case that provide strong alternative    │
│  explanations for the 'Balance disorder'.                                                                       │
│      *   **Patient Factors:** The patient's age (65) can be an independent risk factor for balance issues.      │
│      *   **Concurrent Medications:** The patient was taking multiple medications known to cause balance         │
│  disorder, dizziness, or vertigo. Highly plausible alternative causes include:                                  │
│          *   **AMITRIPTYLINE HYDROCHLORIDE:** Well-known to cause dizziness and ataxia.                         │
│          *   **XANAX (alprazolam):** Common side effects include dizziness and lightheadedness.                 │
│          *   **SUMATRIPTAN SUCCINATE:** Dizziness and vertigo are very common side effects.                     │
│          *   **AMLODIPINE BESYLATE, LOSARTAN POTASSIUM, FLOMAX (tamsulosin):** Antihypertensives and            │
│  alpha-blockers frequently associated with dizziness.                                                           │
│          *   **METRONIDAZOLE:** Known to cause neurological side effects including dizziness, vertigo, and      │
│  ataxia.                                                                                                        │
│          *   **LEXAPRO (escitalopram):** Dizziness is a common side effect.                                     │
│      The presence of these agents severely confounds the assessment and makes it difficult to isolate           │
│  ACYCLOVIR as the causative agent.                                                                              │
│                                                                                                                 │
│  6.  **Synthesis and Final Assessment**                                                                         │
│      The overall causality assessment for ACYCLOVIR causing 'Balance disorder' in this case is **LOW**. This    │
│  conclusion is based on several critical weaknesses: (1) the complete absence of temporal data, making it       │
│  impossible to confirm the drug was administered prior to the event; (2) the lack of supportive dechallenge or  │
│  rechallenge information; (3) the absence of direct, supportive evidence in the provided literature; and (4)    │
│  the presence of multiple, highly plausible confounding medications known to cause the reported event. While    │
│  the patient has a history of similar reactions, this information lacks the necessary context to specifically   │
│  implicate ACYCLOVIR. Given the numerous strong alternative etiologies, a causal role for ACYCLOVIR is          │
│  unlikely.                                                                                                      │
│            </t>
  </si>
  <si>
    <t xml:space="preserve"> Agent: Pharmacovigilance Causality Specialist                                                                  │
│                                                                                                                 │
│  Final Answer:                                                                                                  │
│  **Comprehensive Causality Assessment for Visual impairment Associated with ACYCLOVIR**                         │
│                                                                                                                 │
│  **FINAL PLAUSIBILITY RATING:** LOW                                                                             │
│                                                                                                                 │
│  **Detailed Causality Analysis:**                                                                               │
│                                                                                                                 │
│  **1. Temporal Plausibility**                                                                                   │
│  A temporal relationship between the administration of ACYCLOVIR and the onset of 'Visual impairment' cannot    │
│  be established from the provided data. The 'Therapy Start' date for ACYCLOVIR is marked as MISSING, while the  │
│  'Event Date' is listed as 20190712. Without a start date, it is impossible to determine if the drug was        │
│  administered prior to the event. While literature (PMID: 40594563) suggests a potential rapid onset of 2 days  │
│  for related eye disorders, this information cannot be applied to this specific case due to the missing data.   │
│  Therefore, temporal plausibility is unknown and cannot support the assessment.                                 │
│                                                                                                                 │
│  **2. Biological Plausibility**                                                                                 │
│  There is some limited biological plausibility based on the provided literature. A pharmacovigilance study      │
│  analyzing the FDA Adverse Event Reporting System (FAERS) database (PMID: 40594563) identified a safety signal  │
│  linking ACYCLOVIR to Eye Movement Disorder (EMD), which is a cause of visual impairment. This suggests a       │
│  potential, though not definitively proven, mechanism. However, it is also critical to note that other          │
│  literature (PMID: 28942073) provides high-level evidence for ACYCLOVIR's role in *preventing* visual           │
│  impairment caused by Herpes Simplex Virus (HSV) keratitis. This raises the possibility of confounding by       │
│  indication, where the underlying disease being treated is the actual cause of the event.                       │
│                                                                                                                 │
│  **3. Dechallenge/Rechallenge**                                                                                 │
│  The information regarding dechallenge and rechallenge is unavailable for ACYCLOVIR.                            │
│  - **Dechallenge Result:** MISSING                                                                              │
│  - **Rechallenge Result:** MISSING                                                                              │
│  The absence of this information means that the effect of drug withdrawal or reintroduction on the adverse      │
│  event is unknown, and therefore cannot be used to support or refute a causal link.                             │
│                                                                                                                 │
│  **4. Objective Evidence**                                                                                      │
│  The case involves a 65-year-old male patient. A significant piece of metadata is the "History of Similar       │
│  Reactions: Y," which indicates the patient has experienced similar events in the past. However, without        │
│  context on the circumstances or suspected agents of those prior reactions, its specific relevance to           │
│  ACYCLOVIR is unclear. Key objective data such as the dose, route of administration, and indication for         │
│  ACYCLOVIR are all MISSING, severely limiting the ability to conduct a thorough assessment.                     │
│                                                                                                                 │
│  **5. Confounding Factors**                                                                                     │
│  This case presents numerous and significant confounding factors. The patient was on a large number of          │
│  concurrent medications, several of which have strong, well-documented associations with ocular adverse events  │
│  and visual impairment.                                                                                         │
│  - **Primary Confounders:**                                                                                     │
│      - **PONATINIB:** A tyrosine kinase inhibitor known for causing serious ocular toxicity. The patient had    │
│  been on this medication since July 2018, a full year before the event.                                         │
│      - **PREDNISONE:** A corticosteroid widely known to cause glaucoma and cataracts, leading to visual         │
│  impairment.                                                                                                    │
│      - **DOXYCYCLINE / DOXYCYCLINE HYCLATE:** Associated with pseudotumor cerebri (idiopathic intracranial      │
│  hypertension), which can cause visual disturbances.                                                            │
│      - **METRONIDAZOLE:** Can cause optic neuropathy.                                                           │
│  - **Other Potential Confounders:** Many other concurrent drugs, including AMLODIPINE BESYLATE, LOSARTAN        │
│  POTASSIUM, AMITRIPTYLINE HYDROCHLORIDE, and DICLOFENAC SODIUM, list visual disturbances as a possible side     │
│  effect.                                                                                                        │
│  - **Underlying Disease:** The indication for ACYCLOVIR is missing. As noted in the literature (PMID:           │
│  28942073), ACYCLOVIR is used to treat conditions like viral keratitis, which are themselves a primary cause    │
│  of visual impairment. The patient's underlying condition is a major potential confounder.                      │
│                                                                                                                 │
│  **6. Synthesis and Final Assessment**                                                                          │
│  While a pharmacovigilance signal from literature (PMID: 40594563) suggests a possible association between      │
│  ACYCLOVIR and eye disorders, the evidence within this specific case is exceptionally weak. The assessment is   │
│  critically undermined by a complete lack of temporal data, as the drug's start date is unknown. Furthermore,   │
│  no information on dechallenge or rechallenge is available to strengthen the claim. Most importantly, the       │
│  presence of multiple potent confounding medications with established ocular toxicity (especially PONATINIB     │
│  and PREDNISONE) provides strong alternative explanations for the event. The possibility of confounding by      │
│  indication also cannot be ruled out. Given the absence of a temporal link and the overwhelming presence of     │
│  compelling alternative causes, a causal relationship between ACYCLOVIR and 'Visual impairment' is considered   │
│  unlikely. Therefore, the final plausibility is rated as **LOW**.                                               │
│                                                                   </t>
  </si>
  <si>
    <t>Withdrawal syndrome</t>
  </si>
  <si>
    <t>PREMARIN</t>
  </si>
  <si>
    <t>## Pair Assessment: PREMARIN vs Withdrawal syndrome
**CrewAI Final Output:**
```
**Comprehensive Causality Assessment for WITHDRAWAL SYNDROME Associated with PREMARIN**
**FINAL PLAUSIBILITY RATING:** HIGH
**Detailed Causality Analysis:**
**1. Temporal Plausibility**
The temporal relationship is suggestive but requires an assumption due to missing data. The patient began PREMARIN therapy in 2001 for menopause and experienced the event on December 31, 2018. The 'Therapy End' date is MISSING. For a 'Withdrawal syndrome' to occur, the drug must have been recently discontinued or the dose reduced. Assuming the event occurred upon or shortly after cessation, the long duration of therapy (approx. 17 years) makes the development of dependence and subsequent withdrawal symptoms plausible. The 'History of Similar Reactions: Y' strongly supports that previous attempts at cessation likely resulted in similar events, reinforcing a consistent temporal pattern for this patient.
**2. Biological Plausibility**
The biological plausibility is high, although the term 'Withdrawal syndrome' is more accurately described in the literature as 'symptom rebound' or 'recurrence of vasomotor symptoms'. The provided literature summary explains that PREMARIN (conjugated estrogens) works by replacing declining endogenous estrogen, which stabilizes the thermoregulatory center in the hypothalamus. Upon discontinuation, the sudden drop in circulating estrogen levels can lead to dysregulation and a rapid, often intense, return of the underlying menopausal symptoms (e.g., hot flashes, night sweats) that the therapy was treating. This mechanism is well-established for hormone replacement therapy. The patient's age (48) and indication ('Menopause') are perfectly consistent with this physiological mechanism.
**3. Dechallenge/Rechallenge**
- **Dechallenge Result:** MISSING. Information on whether the symptoms subsided over time after drug cessation is not provided.
- **Rechallenge Result:** MISSING. It is unknown if re-initiating PREMARIN would have resolved the symptoms.
The absence of dechallenge and rechallenge data for this specific event is a significant limitation. However, the reported 'History of Similar Reactions: Y' serves as a powerful proxy, suggesting that a positive dechallenge/rechallenge cycle has likely occurred in the patient's past, strengthening the causal link.
**4. Objective Evidence**
Objective evidence is based on the patient's history and established clinical principles. The patient is a 48-year-old female, a typical demographic for this indication and event. The most compelling piece of evidence is the 'History of Similar Reactions: Y', which indicates this is a recurring issue upon attempted cessation. The provided literature context, while noting a null PubMed search for the specific term 'Withdrawal syndrome' (no PMIDs provided), confirms that symptom recurrence upon discontinuing hormone therapy is a well-documented clinical phenomenon.
**5. Confounding Factors**
- **Concurrent Medications:** The case lists 'N/A: single drug', which effectively rules out other medications as a cause for the event.
- **Underlying Condition:** The indication is 'Menopause'. The reported event is a re-emergence of the symptoms of this underlying condition, which is the expected mechanism of withdrawal from this therapy. Therefore, the medical condition is not a confounder but is central to the event's pathophysiology. No other potential confounding conditions are reported.
**6. Synthesis and Final Assessment**
The causality is assessed as HIGH. This conclusion is based on the strong biological plausibility of symptom recurrence following the cessation of long-term estrogen therapy. This is strongly supported by the patient's specific 'History of Similar Reactions', which acts as a historical positive dechallenge/rechallenge. The absence of confounding medications further isolates PREMARIN as the likely cause. While the assessment is weakened by the missing 'Therapy End' date and formal dechallenge/rechallenge results for this specific event, the totality of the available evidence—particularly the patient's own history and the well-understood mechanism of action—points to a highly probable causal relationship.
```</t>
  </si>
  <si>
    <t>Intentional product misuse reported in the case may plausibly contribute to withdrawal-related symptoms.</t>
  </si>
  <si>
    <t>Withdrawal syndrome: Symptom - Withdrawal syndrome is a collection of subjective experiences and reported symptoms that occur when a substance is discontinued, including psychological distress and physical discomfort, which are primarily patient-reported rather than objectively measurable signs.</t>
  </si>
  <si>
    <t xml:space="preserve">Withdrawal syndrome: Sign - Withdrawal syndrome involves observable physiological and behavioral changes upon cessation of a substance, making it an objective sign. </t>
  </si>
  <si>
    <t xml:space="preserve">Case ID: 2055480826 
 Case Version: 26 
 FDA Code: F 
 Event Date: 20181231 
 Manufacture Date: 20250225 
 Initial FDA Date: 20220304 
 FDA Date: 20250227 
 Report Code: EXP 
 Authorization Number: NA 
 Manufacturer Number: US-PFIZER INC-2016206251 
 Manufacturer Sender: PFIZER 
 Literature Reference: NA 
 Age: 48 
 Age Code: YR 
 Age Group: NA 
 Sex: F 
 E Sub: Y 
 Weight: NA 
 Weight Code: NA 
 Report Date: 20250227 
 To Manufacturer: NA 
 Occupation Code: CN 
 Reporter Country: US 
 Occurrence Country: US 
 Adverse Reaction(s): Illness ; Neuropathy peripheral ; Constipation ; Intentional product misuse ; Product prescribing error ; Withdrawal syndrome ; Nasopharyngitis ; Tremor ; Grief reaction ; Road traffic accident ; Abdominal pain ; Nausea ; Malaise 
 Case ID Number: 20554808 
 Drug Sequence: 1 
 Role Code: PS 
 Drug Name: PREMARIN 
 Product AI: PREMARIN 
 Val VBM: 1 
 Route: Oral 
 Dose VBM: Take 1 tablet by mouth in the morning 
 Cumulative Dose (Char): NA 
 Cumulative Dose (Unit): NA 
 Dechal: NA 
 Rechal: NA 
 Lot Number: NA 
 Expiration Date: NA 
 NDA Number: 4782 
 Dose Amount: 1.25 
 Dose Unit: MG 
 Dose Form: Tablet 
 Dose Frequency: QD 
 Indication for Use: Menopause ; Menopause 
 Therapy Start Date: 2001 
 Therapy End Date: NA 
 Duration: NA 
 Duration Code: NA </t>
  </si>
  <si>
    <t>Bipolar disorder</t>
  </si>
  <si>
    <t>LOSARTAN</t>
  </si>
  <si>
    <t>**1. Temporal Plausibility**
The primary suspect drug, Losartan, has a recorded Therapy Start Date of 20180302 with the  Event Date of 20010401, which creates a  positive Time-to-Onset (TTO). The temporal sequence suggests a causal relationship.</t>
  </si>
  <si>
    <t>**Temporal Plausibility:** The event date (20010401) predates the therapy start date (20180302) implicating insufficient chronological data to support a time-dependent cause-effect relationship between Losartan and Bipolar disorder. Accordingly, the Temporal plausibility rating is classified as LOW.</t>
  </si>
  <si>
    <t>Therapy Start Date: 2018-03-02; Therapy End Date: NA; Event Date: 2001-04-01.
Confirmation: The reported event date occurs approximately 17 years before the documented initiation of LOSARTAN therapy. Therefore, there is no temporal association between LOSARTAN exposure and the reported events. This lack of temporal plausibility.</t>
  </si>
  <si>
    <t>**Confounding Factors:** The patient was concurrently on Nardil and Metoprolol for anxiety disorder and panic attack, which may also serve as confounding factors, considering their direct influence on neurochemical pathways and potential to contribute to mood instabilities. Moreover, the patient's pre-existing mental health conditions might also predispose to mood fluctuations similar to those observed in Bipolar disorder. Thus, the rating for Confounding Factors is MEDIUM-HIGH.</t>
  </si>
  <si>
    <t>Patient had pre-existing psychiatric conditions including anxiety disorder, panic disorder, depression, and agoraphobia reported in the case narrative.</t>
  </si>
  <si>
    <t>Bipolar disorder: Symptom - Bipolar disorder is a psychiatric condition characterized by mood episodes (mania/hypomania and depression) that are primarily diagnosed based on patient-reported experiences and clinical interviews, rather than objective laboratory or physical measurements.</t>
  </si>
  <si>
    <t>since the AE is a symptom (which per definition lacks objective evidence), the AE is not considered to have been confirmed by objective evidence.</t>
  </si>
  <si>
    <t xml:space="preserve">Case ID: 1533424812 
 Case Version: 12 
 FDA Code: F 
 Event Date: 20010401 
 Manufacture Date: 20250320 
 Initial FDA Date: 20180830 
 FDA Date: 20250326 
 Report Code: EXP 
 Authorization Number: NA 
 Manufacturer Number: US-PFIZER INC-2018348119 
 Manufacturer Sender: PFIZER 
 Literature Reference: NA 
 Age: 51 
 Age Code: YR 
 Age Group: NA 
 Sex: M 
 E Sub: Y 
 Weight: 95.25 
 Weight Code: KG 
 Report Date: 20250326 
 To Manufacturer: NA 
 Occupation Code: CN 
 Reporter Country: US 
 Occurrence Country: US 
 Adverse Reaction(s): Malabsorption ; Reaction to excipient ; Drug ineffective ; Constipation ; Bipolar disorder ; Feeling abnormal ; Blood pressure increased ; Weight increased 
 Case ID Number: 15334248 
 Drug Sequence: 5 ; 3 ; 4 ; 2 ; 8 ; 6 ; 1 ; 7 
 Role Code: SS ; SS ; SS ; SS ; C ; C ; PS ; C 
 Drug Name: NARDIL ; NARDIL ; NARDIL ; NARDIL ; METOPROLOL ; LOSARTAN ; NARDIL ; AMLODIPINE 
 Product AI: NARDIL ; NARDIL ; NARDIL ; NARDIL ; METOPROLOL ; LOSARTAN ; NARDIL ; AMLODIPINE 
 Val VBM: 1 ; 1 ; 1 ; 1 ; 1 ; 1 ; 1 ; 1 
 Route: NA ; Oral ; NA ; NA ; Oral ; Oral ; Oral ; Oral 
 Dose VBM: NA ; 30 mg, 3x/day (15mg two tablets by mouth every morning, afternoon, and bedtime) ; UNK ; 60 mg, daily ; 50 mg, 1x/day ; 100 mg, 1x/day ; 45 mg, daily (three tablets) ; 5 mg, 1x/day 
 Cumulative Dose (Char): NA ; NA ; NA ; NA ; NA ; NA ; NA ; NA 
 Cumulative Dose (Unit): NA ; NA ; NA ; NA ; NA ; NA ; NA ; NA 
 Dechal: NA ; NA ; NA ; NA ; NA ; NA ; NA ; NA 
 Rechal: NA ; NA ; NA ; NA ; NA ; NA ; NA ; NA 
 Lot Number: NA ; NA ; NA ; NA ; NA ; NA ; NA ; NA 
 Expiration Date: NA ; NA ; NA ; NA ; NA ; NA ; NA ; NA 
 NDA Number: 11909 ; 11909 ; 11909 ; 11909 ; NA ; NA ; 11909 ; NA 
 Dose Amount: NA ; 30 ; NA ; 60 ; 50 ; 100 ; 45 ; 5 
 Dose Unit: NA ; MG ; NA ; MG ; MG ; MG ; MG ; MG 
 Dose Form: Coated tablet ; Coated tablet ; Coated tablet ; Coated tablet ; Tablet ; Tablet ; Coated tablet ; Tablet 
 Dose Frequency: NA ; TID ; NA ; NA ; QD ; QD ; NA ; QD 
 Indication for Use: Anxiety disorder ; Anxiety disorder ; Major depression ; Panic disorder ; Panic attack ; Panic attack ; Agoraphobia ; Hypertension ; Hypertension ; Hypertension ; Hypertension 
 Therapy Start Date: NA ; NA ; NA ; NA ; NA ; 20180302 ; 1979 ; NA 
 Therapy End Date: NA ; NA ; 2003 ; NA ; NA ; NA ; NA ; NA 
 Duration: NA ; NA ; NA ; NA ; NA ; NA ; NA ; NA 
 Duration Code: NA ; NA ; NA ; NA ; NA ; NA ; NA ; NA 
</t>
  </si>
  <si>
    <t>Steroid diabetes</t>
  </si>
  <si>
    <t>PREDNISONE</t>
  </si>
  <si>
    <t>**Confounding Factors:** The patient was on concurrent medications, including methotrexate, that have varied metabolic effects, which could potentially confuse the assessment. The underlying condition of sarcoidosis, for which these medications, including prednisone, were presumably prescribed, might affect the glucose metabolism and act as a confounding factor. Moreover, there is a history of similar reactions in the past, suggesting potential predisposition.</t>
  </si>
  <si>
    <t>**Confounding Factors:** The patient was on concurrent medications, including methotrexate, that have varied metabolic effects, which could potentially confuse the assessment. The underlying condition of sarcoidosis, for which these medications, including prednisone, were presumably prescribed, might affect the glucose metabolism and act as a confounding factor.</t>
  </si>
  <si>
    <t>No clear alternative cause for steroid diabetes was identified in the case narrative; prednisone is a recognized cause of steroid-induced diabetes.</t>
  </si>
  <si>
    <t xml:space="preserve"> Steroid diabetes: Sign - Steroid diabetes is a measurable metabolic disorder with objective lab findings (elevated blood glucose).</t>
  </si>
  <si>
    <t xml:space="preserve">Case ID: 152884343 
 Case Version: 3 
 FDA Code: F 
 Event Date: NA 
 Manufacture Date: 20250414 
 Initial FDA Date: 20180817 
 FDA Date: 20250428 
 Report Code: EXP 
 Authorization Number: NA 
 Manufacturer Number: FR-AUROBINDO-AUR-APL-2018-041739 
 Manufacturer Sender: AUROBINDO 
 Literature Reference: Gaucher S, Nicolas C, Piveteau O, Philippe HJ, Blanche P.. Sarcoidosis and Wound Healing After Cellulitis of the Lower Limb: Is Methotrexate Responsible for Skin Graft Failure?.. Wounds. 2017;29(8):229-30 
 Age: 53 
 Age Code: YR 
 Age Group: NA 
 Sex: M 
 E Sub: Y 
 Weight: NA 
 Weight Code: NA 
 Report Date: 20250428 
 To Manufacturer: NA 
 Occupation Code: HP 
 Reporter Country: FR 
 Occurrence Country: FR 
 Adverse Reaction(s): Steroid diabetes ; Cellulitis ; Sarcoidosis ; Skin graft failure 
 Case ID Number: 15288434 
 Drug Sequence: 5 ; 4 ; 2 ; 6 ; 3 ; 1 
 Role Code: C ; C ; SS ; C ; C ; PS 
 Drug Name: AMOXICILLIN\CLAVULANIC ACID ; SILVER SULFADIAZINE ; METHOTREXATE ; CLINDAMYCIN ; FOLIC ACID ; PREDNISONE 
 Product AI: AMOXICILLIN\CLAVULANIC ACID ; SILVER SULFADIAZINE ; METHOTREXATE ; CLINDAMYCIN ; FOLIC ACID ; PREDNISONE 
 Val VBM: 1 ; 1 ; 1 ; 1 ; 1 ; 1 
 Route: Unknown ; Unknown ; Subcutaneous ; Unknown ; Unknown ; Unknown 
 Dose VBM: UNK ; UNK, Daily ; 25 milligram, Every Week ; UNK ; 25 milligram, Every Week ; 5 milligram, Once a Day 
 Cumulative Dose (Char): NA ; NA ; NA ; NA ; NA ; NA 
 Cumulative Dose (Unit): NA ; NA ; NA ; NA ; NA ; NA 
 Dechal: U ; U ; Y ; U ; U ; U 
 Rechal: NA ; NA ; U ; NA ; U ; U 
 Lot Number: NA ; NA ; NA ; NA ; NA ; NA 
 Expiration Date: NA ; NA ; NA ; NA ; NA ; NA 
 NDA Number: NA ; NA ; NA ; NA ; NA ; 215671 
 Dose Amount: NA ; NA ; 25 ; NA ; 25 ; 5 
 Dose Unit: NA ; NA ; MG ; NA ; MG ; MG 
 Dose Form: NA ; NA ; Solution for injection ; NA ; NA ; NA 
 Dose Frequency: NA ; NA ; /WK ; NA ; /WK ; QD 
 Indication for Use: Sarcoidosis ; Sarcoidosis ; Sarcoidosis ; Sarcoidosis ; Product used for unknown indication ; Product used for unknown indication ; Product used for unknown indication ; Product used for unknown indication 
 Therapy Start Date: NA ; NA ; 2011 ; NA ; NA ; 2011 
 Therapy End Date: NA ; NA ; NA ; NA ; NA ; NA 
 Duration: NA ; NA ; NA ; NA ; NA ; NA 
 Duration Code: NA ; NA ; NA ; NA ; NA ; NA </t>
  </si>
  <si>
    <t>Cellulitis</t>
  </si>
  <si>
    <t>**Temporal Plausibility:** The exact event time of the cellulitis is MISSING, making an assessment of Temporal plausibility difficult. However, the treatment with Prednisone started in 2011 and it is plausible that an immunosuppressive effect could develop over a long period of exposure.</t>
  </si>
  <si>
    <t>**Confounding Factors:** The patient was on several concurrent medications for Sarcoidosis. The therapy periods and their dechallenge/rechallenge statuses are MISSING for most of them, therefore it is hard to rule out their possible role in causing cellulitis. Furthermore, conditions associated with immunosuppression like sarcoidosis could increase the risk of skin infections such as cellulitis. **Biological Plausibility:** The patient has a history of similar reactions (Y), which suggests susceptibility to cellulitis. Prednisone acts as an immunosuppressant, potentially enhancing susceptibility to infections including cellulitis. This is supported by PubMed articles showing a connection between the use of prednisone and an increased risk of infections, including cellulitis (PMID: MISSING).</t>
  </si>
  <si>
    <t>**Confounding Factors:** The patient was on several concurrent medications for Sarcoidosis. The therapy periods and their dechallenge/rechallenge statuses are MISSING for most of them, therefore it is hard to rule out their possible role in causing cellulitis. Furthermore, conditions associated with immunosuppression like sarcoidosis could increase the risk of skin infections such as cellulitis.</t>
  </si>
  <si>
    <t>Patient was receiving concomitant methotrexate,an immunosuppressive therapy which may increase infection risk and represents a plausible alternative explanation for cellulitis. Also, amoxicillin/clavulanic acid and Silver sulfadiazine were administered in the setting of cellulitis treatment, indicating the event likely represents the underlying infection rather than an adverse reaction.</t>
  </si>
  <si>
    <t>Cellulitis: Sign - Cellulitis is an observable skin infection with physical signs (redness, swelling).</t>
  </si>
  <si>
    <t>Product use in unapproved indication</t>
  </si>
  <si>
    <t>## Pair Assessment: FINASTERIDE vs Product use in unapproved indication
**CrewAI Final Output:**
```
**Comprehensive Causality Assessment for Product use in unapproved indication Associated with FINASTERIDE**
**FINAL PLAUSIBILITY RATING:** LOW
**Detailed Causality Analysis:**
1.  **Temporal Plausibility**
    The concept of a temporal relationship is not applicable to this event. 'Product use in unapproved indication' describes the circumstance of drug administration itself, rather than a physiological reaction that occurs after administration. The "event" is concurrent with the therapy, and there is no latency period to assess.
2.  **Biological Plausibility**
    Biological plausibility is not a relevant criterion for this assessment. The event 'Product use in unapproved indication' is a human action or prescribing choice, not a pharmacological or biological effect caused by FINASTERIDE's mechanism of action (inhibition of 5-alpha-reductase type 2). The provided literature search, which yielded **0 articles**, supports the lack of a documented association under this specific terminology.
3.  **Dechallenge/Rechallenge**
    The dechallenge result is reported as Unknown (U), and rechallenge is Missing. While stopping the drug would inherently stop its "use," this observation is tautological and does not provide meaningful information for causality assessment in the way it would for a physiological adverse reaction. The outcome of dechallenge is uninformative in this context.
4.  **Objective Evidence**
    The objective evidence within the case report directly contradicts the reported event. The patient is a 29-year-old male taking FINASTERIDE 1 milligram daily for the indication of 'Androgenetic alopecia'. This is a standard, approved, on-label indication for this specific drug and dose in adult males. Therefore, based on the provided case details, the product was used for an *approved* indication, meaning the reported event did not actually occur.
5.  **Confounding Factors**
    The primary confounding factor is the fundamental contradiction between the reported event and the reported indication for use. No concurrent medications were listed that could influence the assessment. The patient's 'History of Similar Reactions: Y' is ambiguous and its relevance cannot be determined in the context of a non-physiological event.
6.  **Synthesis and Final Assessment**
    This assessment is based on a significant logical contradiction within the case data. The reported event is 'Product use in unapproved indication'. However, the patient, a 29-year-old male, was treated with FINASTERIDE 1mg for 'Androgenetic alopecia', which is a globally recognized and approved indication. The objective evidence shows the drug was used *on-label*. Consequently, the reported event is factually incorrect based on the case narrative. A causal relationship cannot be established for an event that did not occur. Therefore, the plausibility of FINASTERIDE causing 'Product use in unapproved indication' in this specific case is rated as **LOW**.
```
---</t>
  </si>
  <si>
    <t>This event reflects use outside the approved indication rather than a pharmacological adverse reaction; alternative medical cause assessment is not applicable.</t>
  </si>
  <si>
    <t xml:space="preserve">Product use in unapproved indication: Sign - This is an objective, documented deviation from approved prescribing information that can be verified through medical records or prescription data, not a subjective patient experience. </t>
  </si>
  <si>
    <t>## Pair Assessment: FINASTERIDE vs Product use in unapproved indication
**CrewAI Final Output:**
```
**Comprehensive Causality Assessment for Product use in unapproved indication Associated with FINASTERIDE**
**FINAL PLAUSIBILITY RATING:** LOW
**Detailed Causality Analysis:**
1.  **Temporal Plausibility**
    The concept of temporal plausibility, which assesses the time from drug initiation to event onset, is not applicable in this case. The reported event, 'Product use in unapproved indication', is a circumstance of use, not a physiological or pathological reaction to the drug. The "event" is the act of using the drug itself for a specific purpose. This decision and action precede or are concurrent with the drug's administration. Therefore, the drug cannot pharmacologically cause the indication for which it is being used. A temporal relationship cannot be established because the drug administration *is* the event in question.
2.  **Biological Plausibility**
    There is no biological plausibility for FINASTERIDE causing 'Product use in unapproved indication'. FINASTERIDE is a 5-alpha-reductase inhibitor, and its mechanism of action relates to androgen metabolism. This pharmacological action has no known or theoretical capacity to influence a prescriber's or patient's decision-making process regarding the drug's indication. The provided literature search, which yielded 0 articles (PMIDs: N/A), supports the lack of any scientific evidence linking the drug's properties to this type of event. This event is a human action, not a biological effect of the drug.
3.  **Dechallenge/Rechallenge**
    The dechallenge result is reported as 'U' (Unknown), which is uninformative but appropriate given the nature of the event. Stopping the drug would inherently stop the 'Product use in unapproved indication', but this is a tautology and does not provide information about a physiological response. Rechallenge information is missing. Neither dechallenge nor rechallenge are meaningful metrics for assessing causality for a circumstance-of-use event.
4.  **Objective Evidence**
    The objective evidence within the case report is contradictory and argues against the reported event. The case specifies the indication for FINASTERIDE 1mg was 'Androgenetic alopecia'. For a 25-year-old male patient in Spain (ES), this is a well-established, approved indication for this product and dose. Therefore, the reported event 'Product use in unapproved indication' is factually incorrect based on the other data provided in the same case file. This suggests a significant data entry or medical coding error.
5.  **Confounding Factors**
    The primary confounding factor is the internal inconsistency of the case report itself, as detailed above. The reported indication ('Androgenetic alopecia') directly refutes the reported adverse event ('Product use in unapproved indication'). No concurrent medications were reported that could confound the assessment. The patient's 'History of Similar Reactions: Y' is highly unusual and likely another data quality issue, as it is unclear how a patient would have a recurring history of this specific circumstance-of-use event.
6.  **Synthesis and Final Assessment**
    The assessment of a causal link between FINASTERIDE and 'Product use in unapproved indication' is not plausible. A drug cannot cause the reason for its own prescription or use. The event is a circumstance of use, not a medical adverse event. Furthermore, the case data is fundamentally contradictory, stating the drug was used for 'Androgenetic alopecia', which is an approved indication for FINASTERIDE 1mg in the specified patient population and reporter country. This strongly indicates the reported event term is an error. Considering the lack of biological and temporal plausibility and the contradictory objective evidence, the causality is assessed as low.
```
---</t>
  </si>
  <si>
    <t xml:space="preserve">Product use in unapproved indication: Sign - This is an objective, documented deviation from approved prescribing guidelines, not a subjective patient experience. It represents observable evidence of medication use outside authorized parameters. </t>
  </si>
  <si>
    <t>Expired product administered</t>
  </si>
  <si>
    <t>PHEXXI</t>
  </si>
  <si>
    <t>## Pair Assessment: PHEXXI vs Expired product administered
**CrewAI Final Output:**
```
**Comprehensive Causality Assessment for Expired product administered Associated with PHEXXI**
**FINAL PLAUSIBILITY RATING:** HIGH
**Detailed Causality Analysis:**
1.  **Temporal Plausibility**
    The temporal relationship between the drug (PHEXXI) and the event ('Expired product administered') is absolute and definitional. The event is the act of administering the product itself. For the event to occur, the product must be present and administered. Although specific dates such as the Event Date and Therapy Start date are missing from the case metadata, the logical sequence is certain: the product existed, it expired, and then it was administered. Therefore, the temporal association is clear and direct.
2.  **Biological Plausibility**
    The event 'Expired product administered' is not a biological or pharmacological adverse reaction caused by the drug's mechanism of action. Instead, it is a medication error or a circumstance related to product use. Therefore, biological plausibility in the traditional sense does not apply. However, it is highly plausible that any self-administered medication, including PHEXXI, could be used after its expiration date due to user oversight. The provided literature summary, while containing no specific reports of this event (PMIDs: N/A), outlines the general pharmaceutical principles of product expiration. It notes that after the expiration date, degradation of active ingredients can lead to reduced efficacy, and changes in the product's physical or chemical properties could occur. This supports the plausibility of the circumstance and its potential clinical relevance.
3.  **Dechallenge/Rechallenge**
    The concepts of dechallenge and rechallenge are not applicable to this type of event.
    *   **Dechallenge Result: U (Unknown).** Dechallenge refers to the withdrawal of a drug to see if an adverse event resolves. Since the event was the administration itself—a discrete action in the past—it cannot be stopped or withdrawn.
    *   **Rechallenge Result: U (Unknown).** Rechallenge, or re-administering the drug, would be nonsensical and unethical in this context, as it would involve intentionally administering an expired product again. The reported unknown status for both is appropriate.
4.  **Objective Evidence**
    The primary evidence for this event is the reporter's account. There is no objective, verifiable evidence provided, such as a lot number or photographic proof of the expired packaging. The literature search for "PHEXXI" and "Expired product administered" yielded 0 articles, indicating a lack of published evidence for this specific event. However, a significant piece of metadata is the "History of Similar Reactions: Y". In the context of this event, this suggests the patient may have a history of administering expired products, which lends some credibility to the current report, even if the circumstances are unusual.
5.  **Confounding Factors**
    No concurrent medications were reported, eliminating them as a source of confounding. The event is a medication error, and the primary causal factor is human action. Potential contributing factors could include lack of patient awareness, unclear labeling, or improper storage, but no such information is provided in the case narrative. As this is not a physiological reaction, confounding by other diseases or medications is not relevant.
6.  **Synthesis and Final Assessment**
    The association between PHEXXI and the event 'Expired product administered' is certain by definition. The drug is the subject of the event, and the event could not have occurred or been reported without it. This is not a pharmacological effect but a medication error. The temporal relationship is inherent to the event's definition. While there is no direct literature or objective evidence, the event is plausible as a form of human error, and the reported history of similar events strengthens the report's consistency. Dechallenge and rechallenge are not applicable. Given that the drug is the essential and central component of the reported event, the causal link is considered definitive.
Therefore, the final plausibility rating is **HIGH**.
```
---</t>
  </si>
  <si>
    <t>This event reflects a medication-use/product quality issue rather than a pharmacological adverse reaction; alternative medical cause assessment is not applicable.</t>
  </si>
  <si>
    <t>Expired product administered Case ID: Sign - This is an objective event involving administration of a product past its expiration date, which can be verified through documentation and product labeling, rather than a subjective patient experience.</t>
  </si>
  <si>
    <t xml:space="preserve">Case ID: 227305563 
 Case Version: 3 
 FDA Code: F 
 Event Date: NA 
 Manufacture Date: 20230828 
 Initial FDA Date: 20230720 
 FDA Date: 20250514 
 Report Code: PER 
 Authorization Number: NA 
 Manufacturer Number: US-EVOFEM BIOSCIENCES, INC.-2023-EVO-US000034 
 Manufacturer Sender: EVOFEM 
 Literature Reference: NA 
 Age: NA 
 Age Code: NA 
 Age Group: NA 
 Sex: NA 
 E Sub: Y 
 Weight: NA 
 Weight Code: NA 
 Report Date: 20250514 
 To Manufacturer: NA 
 Occupation Code: HP 
 Reporter Country: US 
 Occurrence Country: US 
 Adverse Reaction(s): Expired product administered 
 Case ID Number: 22730556 
 Drug Sequence: 1 
 Role Code: PS 
 Drug Name: PHEXXI 
 Product AI: PHEXXI 
 Val VBM: 1 
 Route: Unknown 
 Dose VBM: NA 
 Cumulative Dose (Char): NA 
 Cumulative Dose (Unit): NA 
 Dechal: U 
 Rechal: U 
 Lot Number: NA 
 Expiration Date: NA 
 NDA Number: 208352 
 Dose Amount: NA 
 Dose Unit: NA 
 Dose Form: Vaginal gel 
 Dose Frequency: NA 
 Indication for Use: Contraception 
 Therapy Start Date: NA 
 Therapy End Date: NA 
 Duration: NA 
 Duration Code: NA </t>
  </si>
  <si>
    <t>Inappropriate schedule of product administration</t>
  </si>
  <si>
    <t>FILSPARI</t>
  </si>
  <si>
    <t>## Pair Assessment: FILSPARI vs Inappropriate schedule of product administration
**CrewAI Final Output:**
```
**Comprehensive Causality Assessment for Inappropriate Schedule of Product Administration Associated with FILSPARI**
**FINAL PLAUSIBILITY RATING:** LOW
**Detailed Causality Analysis:**
1. **Temporal Plausibility**: The temporal association between FILSPARI administration and the inappropriate schedule of product administration is not mentionable due to missing data pertaining to the therapy start and end dates. The event date is provided, but without the context of the administration schedule, it is difficult to assess the temporal plausibility.
2. **Biological Plausibility**: With no current PubMed literature available correlating FILSPARI and the inappropriate schedule of product administration, there is no established biological plausibility that FILSPARI would result in this particular adverse event.
3. **Dechallenge/Rechallenge**: The data for dechallenge (i.e., what happens when the medication is stopped) and rechallenge (i.e., what happens when the medication is resumed) are unspecified. Therefore, we cannot use this information to help determine causality.
4. **Objective Evidence**: The lack of literature and metadata related to dosage, indication, and therapy duration restricts the ability to provide substantial objective evidence linking FILSPARI to the reported event.
5. **Confounding Factors**: The patient's medical history records a precedent of similar reactions. However, without extensive information regarding the patient’s past medical history, it is challenging to infer if FILSPARI or other factors are influencing the inappropriate schedule of product administration. Furthermore, there are no concurrent medications to consider as potential confounding factors.
6. **Synthesis and Final Assessment**: Despite some historical evidence of similar reactions, there is lacking direct evidential support associating FILSPARI to the inappropriate schedule of product administration. The information currently obtainable does not propose a causality link. However, further research and more detailed patient data could potentially alter this assessment.
In summary, based on the available information, the causality between the inappropriate schedule of product administration and use of FILSPARI is considered low. However, it is recommended to have a more detailed examination of the patient's clinical history and comprehensive research on the drug FILSPARI.
```
---</t>
  </si>
  <si>
    <t>Inappropriate schedule of product administration: Sign - This refers to an objectively documented deviation from the prescribed dosing regimen, such as missed doses, incorrect timing, or wrong frequency, which can be verified through medication records, patient logs, or healthcare provider observations, rather than being a subjective patient-reported experience.</t>
  </si>
  <si>
    <t xml:space="preserve">Case ID: 229170495 
 Case Version: 5 
 FDA Code: F 
 Event Date: 20241201 
 Manufacture Date: 20250211 
 Initial FDA Date: 20230907 
 FDA Date: 20250221 
 Report Code: PER 
 Authorization Number: NA 
 Manufacturer Number: US-TRAVERE-2023TVT00317 
 Manufacturer Sender: TRAVERE THERAPEUTICS 
 Literature Reference: NA 
 Age: 42 
 Age Code: YR 
 Age Group: A 
 Sex: F 
 E Sub: Y 
 Weight: NA 
 Weight Code: NA 
 Report Date: 20250221 
 To Manufacturer: NA 
 Occupation Code: CN 
 Reporter Country: US 
 Occurrence Country: US 
 Adverse Reaction(s): Hyperchlorhydria ; Dizziness ; Inappropriate schedule of product administration ; Product prescribing error ; Bone pain ; Thirst ; Protein urine present ; Facial paralysis 
 Case ID Number: 22917049 
 Drug Sequence: 1 ; 2 
 Role Code: PS ; SS 
 Drug Name: FILSPARI ; FILSPARI 
 Product AI: FILSPARI ; FILSPARI 
 Val VBM: 1 ; 1 
 Route: Oral ; Oral 
 Dose VBM: NA ; NA 
 Cumulative Dose (Char): NA ; NA 
 Cumulative Dose (Unit): NA ; NA 
 Dechal: U ; U 
 Rechal: U ; U 
 Lot Number: NA ; 6037044 
 Expiration Date: NA ; NA 
 NDA Number: 216403 ; 216403 
 Dose Amount: 200 ; 400 
 Dose Unit: MG ; MG 
 Dose Form: Tablet ; Tablet 
 Dose Frequency: QD ; QD 
 Indication for Use: IgA nephropathy ;  
 Therapy Start Date: NA ; NA 
 Therapy End Date: NA ; NA 
 Duration: NA ; NA 
 Duration Code: NA ; NA </t>
  </si>
  <si>
    <t>Product prescribing error</t>
  </si>
  <si>
    <t>## Pair Assessment: FILSPARI vs Product prescribing error
**CrewAI Final Output:**
```
**Comprehensive Causality Assessment for 'Product Prescribing Error' Associated with 'FILSPARI'**
**FINAL PLAUSIBILITY RATING:** LOW
**Detailed Causality Analysis:**
  *1. Temporal Plausibility:*
   The temporal plausibility cannot be evaluated due to insufficient data. Key parameters such as the therapy start and end dates, dosing information, and the event date are missing.
  *2. Biological Plausibility:* 
   Based on the PubMed search, no clinical evidence or mechanism of action (MOA) directly linking FILSPARI to product prescribing errors have been identified, thus biological plausibility is considered low.
  *3. Dechallenge / Rechallenge:* 
   Both dechallenge and rechallenge results are unknown, reducing the ability to determine causality.
  *4. Objective Evidence:*
   The objective evidence to link FILSPARI to a product prescribing error is lacking. There's no mention of diagnostic tests, laboratory findings, or objective markers to support this claim.
  *5. Confounding Factors:* 
  Based on information provided, the patient has had a history of similar reactions. However, no concurrent medications were listed, making it difficult to eliminate potential confounding factors. Lack of weight, outcome, EDSS, and indication also prevent an evaluation for confounding factors.
   *6. Synthesis and Final Assessment:*
   A comprehensive assessment of the data available indicates a low plausibility of FILSPARI causing a product prescribing error. The lack of literature evidence, unclear dechallenge/rechallenge results, missing data, and absence of objective evidence significantly limit the potential to draw a definitive conclusion.
In conclusion, based on the available data, there is insufficient evidence to establish a direct causal relationship between use of FILSPARI and occurrence of product prescribing errors. More information, such as patient weight, drug dosage, concurrent medications, therapy start/end dates, and specific medical history would be helpful to enable a more conclusive assessment. Therefore, until further data is available, the causality remains indeterminate.
```
---</t>
  </si>
  <si>
    <t>Product prescribing error: Sign - A prescribing error is an objective, measurable event involving incorrect medication selection, dosage, or administration that can be documented through medical records or observation, rather than a subjective patient experience.</t>
  </si>
  <si>
    <t>Maternal exposure during pregnancy</t>
  </si>
  <si>
    <t>KESIMPTA</t>
  </si>
  <si>
    <t>## Pair Assessment: KESIMPTA vs Maternal exposure during pregnancy
**CrewAI Final Output:**
```
**Comprehensive Causality Assessment for Maternal exposure during pregnancy Associated with KESIMPTA**
**FINAL PLAUSIBILITY RATING:** HIGH
**Detailed Causality Analysis:**
1.  **Temporal Plausibility**
    The temporal relationship between KESIMPTA administration and the event 'Maternal exposure during pregnancy' is definitive and highly plausible. The patient, a female of childbearing potential, initiated KESIMPTA therapy on 11-Sep-2022 for relapsing-remitting multiple sclerosis. The therapy end date is missing, indicating the patient was on active treatment when the pregnancy occurred. Therefore, the administration of the drug directly preceded and was concurrent with the period of gestation, establishing a clear temporal link for the exposure event.
2.  **Biological Plausibility**
    The biological plausibility for KESIMPTA causing fetal exposure is very high. KESIMPTA (ofatumumab) is a human IgG1 monoclonal antibody. As stated in the provided context, human IgG antibodies are known to actively cross the placental barrier, with transfer increasing during the second and third trimesters. This established pharmacological principle means that maternal administration of KESIMPTA is expected to result in the drug entering fetal circulation. This is further supported by animal reproduction studies in monkeys, which demonstrated B-cell depletion in fetuses, confirming that the drug crosses the placenta and exerts its pharmacological effect. The official prescribing information acknowledges this risk by recommending effective contraception for 6 months post-treatment, reinforcing the strong biological basis for fetal exposure.
3.  **Dechallenge/Rechallenge**
    *   **Dechallenge Result: U (Unknown)**. In the context of maternal exposure, dechallenge refers to the discontinuation of the drug upon discovery of pregnancy. While this is the appropriate clinical action to limit further exposure, it does not erase the exposure that has already occurred. The reported outcome of 'Unknown' is noted but does not weaken the assessment, as the event (exposure) is irreversible.
    *   **Rechallenge Result: MISSING**. Rechallenge is clinically and ethically inappropriate in this situation and is not applicable.
4.  **Objective Evidence**
    While the provided PubMed literature search yielded 0 specific articles (PMIDs), there is substantial objective evidence derived from the drug's pharmacology and regulatory information:
    *   **Pharmacology:** The known transplacental transport mechanism of IgG1 antibodies serves as strong evidence.
    *   **Animal Data:** Pre-clinical studies in monkeys confirmed placental transfer and resultant pharmacological effects (fetal B-cell depletion).
    *   **Prescribing Information:** The existence of warnings, recommendations for contraception, and the establishment of a pregnancy exposure registry all constitute objective acknowledgment from the manufacturer and regulatory bodies that fetal exposure is a recognized and significant clinical consideration.
5.  **Confounding Factors**
    The event being assessed is the exposure itself, which is a direct consequence of the drug being administered to a pregnant patient.
    *   **Concurrent Medications:** Reported as 'N/A', indicating no potential for confounding by other drugs.
    *   **Underlying Disease:** The patient's indication, relapsing-remitting multiple sclerosis, is not a confounding factor for the exposure event.
    *   **Other Factors:** The patient's 'History of Similar Reactions: Y' is noted, but its relevance to this specific event is unclear and does not present a confounding element. No confounding factors have been identified.
6.  **Synthesis and Final Assessment**
    The assessment of causality for 'Maternal exposure during pregnancy' due to KESIMPTA is straightforward. The patient was actively taking KESIMPTA when she became pregnant, establishing a direct and incontrovertible temporal link. The biological mechanism for fetal exposure is well-established, as KESIMPTA, an IgG1 antibody, is expected to cross the placenta. This is supported by evidence from animal studies and is the basis for specific warnings in the drug's prescribing information. The dechallenge/rechallenge information is consistent with this type of event, and there are no confounding factors. The use of KESIMPTA by the patient during her pregnancy directly and unequivocally caused the fetal exposure. Therefore, the causality is rated as **HIGH**.
```
---</t>
  </si>
  <si>
    <t>This event represents an exposure circumstance rather than a pharmacological adverse reaction; alternative medical cause assessment is not applicable.</t>
  </si>
  <si>
    <t xml:space="preserve">Maternal exposure during pregnancy: Sign - Maternal exposure during pregnancy is an objective, measurable event involving documented external factors (e.g., medications, toxins) affecting the mother, not a subjective patient-reported experience. It represents an observable condition or circumstance rather than a symptom. </t>
  </si>
  <si>
    <t xml:space="preserve">Case ID: 229465142 
 Case Version: 2 
 FDA Code: F 
 Event Date: NA 
 Manufacture Date: 20230911 
 Initial FDA Date: 20230915 
 FDA Date: 20250613 
 Report Code: EXP 
 Authorization Number: NA 
 Manufacturer Number: NVSC2023CA197108 
 Manufacturer Sender: NOVARTIS 
 Literature Reference: NA 
 Age: NA 
 Age Code: NA 
 Age Group: A 
 Sex: F 
 E Sub: Y 
 Weight: NA 
 Weight Code: NA 
 Report Date: 20250613 
 To Manufacturer: NA 
 Occupation Code: HP 
 Reporter Country: CA 
 Occurrence Country: CA 
 Adverse Reaction(s): Maternal exposure during pregnancy ; Abortion threatened 
 Case ID Number: 22946514 
 Drug Sequence: 1 
 Role Code: PS 
 Drug Name: KESIMPTA 
 Product AI: KESIMPTA 
 Val VBM: 1 
 Route: Subcutaneous 
 Dose VBM: UNK 
 Cumulative Dose (Char): NA 
 Cumulative Dose (Unit): NA 
 Dechal: U 
 Rechal: NA 
 Lot Number: NA 
 Expiration Date: NA 
 NDA Number: 125326 
 Dose Amount: NA 
 Dose Unit: NA 
 Dose Form: NA 
 Dose Frequency: NA 
 Indication for Use: Relapsing-remitting multiple sclerosis ; Relapsing-remitting multiple sclerosis 
 Therapy Start Date: 20220911 
 Therapy End Date: NA 
 Duration: NA 
 Duration Code: NA </t>
  </si>
  <si>
    <t>**Temporal Plausibility**: Temporal plausibility cannot be assessed as the exact therapy start and end dates are missing.</t>
  </si>
  <si>
    <t xml:space="preserve">**Confounding Factors:** 
     - Disease Alignment: The patient is being treated for systemic lupus erythematosus, where Chloroquine (and Hydroxychloroquine sulfate) is often used. There's no known link between this disease and inappropriate drug administration. </t>
  </si>
  <si>
    <t>**Confounding Factors:** 
     - Disease Alignment: The patient is being treated for systemic lupus erythematosus, where Chloroquine (and Hydroxychloroquine sulfate) is often used. There's no known link between this disease and inappropriate drug administration. **Underlying Disease:** The patient's indication is Systemic lupus erythematosus. While the disease itself is not a direct cause, system-level or patient-level complexities in managing a chronic illness could contribute to scheduling errors. However, no specific details are provided.
    -   **Other Factors:** The root cause of the scheduling error (e.g., patient error, prescriber error, administrative error) is unknown. These unmeasured human and system factors are the most likely direct causes, but the event is nonetheless strongly associated with the administration of this specific product in real-world data.</t>
  </si>
  <si>
    <t>Inappropriate schedule of product administration: Sign - This refers to an objectively verifiable deviation from prescribed dosing intervals or timing, which can be documented through medication administration records or observed by healthcare providers, rather than a subjective patient report.</t>
  </si>
  <si>
    <t>since the medication error is a clinical sign (as opposed to a symptom), it is assumed that the appropriate medical tests have been performed by a healthcare professional, prior to diagnosing.</t>
  </si>
  <si>
    <t>Product prescribing issue</t>
  </si>
  <si>
    <t>**Temporal Plausibility:** The temporal plausibility in this scenario is unknown. Due to the missing information surrounding therapy start and end dates, along with the dose and route, it is challenging to point out a clear temporal relationship between CHLOROQUINE use and the occurrence of loss of consciousness.</t>
  </si>
  <si>
    <t>**Confounding Factors:** The patient was concurrently taking BELIMUMAB and HYDROXYCHLOROQUINE SULFATE for systemic lupus erythematosus and DIPYRONE for an unknown indication. Therefore, it is possible that the loss of consciousness episode could have been caused by any of these medications, or due to the underlying disease or an unrelated event. The lack of detailed patient metadata (age, sex, weight, and outcome code) is an additional challenge in drawing a clear conclusion.</t>
  </si>
  <si>
    <t>**Confounding Factors:** The most likely cause of a 'Product prescribing issue' is human error by the healthcare provider or a systemic issue within the prescribing software or clinical workflow. Factors such as lack of familiarity with the product's dosing, indication, or contraindications, or a simple clerical error, are the probable causes. The patient's underlying disease, Systemic lupus erythematosus, is the reason for treatment but is not a plausible cause of the prescribing issue itself. The patient was concurrently taking BELIMUMAB and HYDROXYCHLOROQUINE SULFATE for systemic lupus erythematosus and DIPYRONE for an unknown indication.  The root cause is external to the drug's pharmacology.</t>
  </si>
  <si>
    <t>Product prescribing issue: Sign - A product prescribing issue refers to an objective error or deviation in the process of prescribing a medication, such as incorrect dosage, wrong drug, or inappropriate administration, which is observable and verifiable through medical records or documentation, rather than a subjective patient experience.</t>
  </si>
  <si>
    <t>By Naranjo question</t>
  </si>
  <si>
    <t>Question</t>
  </si>
  <si>
    <t>Condition</t>
  </si>
  <si>
    <t>Agreement (%)</t>
  </si>
  <si>
    <t>Mean Difference</t>
  </si>
  <si>
    <t>Overestimation (n)</t>
  </si>
  <si>
    <t>Agreement (n)</t>
  </si>
  <si>
    <t>Underestimation (n)</t>
  </si>
  <si>
    <t>Q2</t>
  </si>
  <si>
    <t>Non-RAG</t>
  </si>
  <si>
    <t>With RAG</t>
  </si>
  <si>
    <t>Q5</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</si>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</sst>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font>
      <sz val="11"/>
      <color theme="1"/>
      <name val="Calibri"/>
      <family val="2"/>
      <charset val="1"/>
    </font>
    <font>
      <b/>
      <sz val="11"/>
      <color rgb="FFA8252C"/>
      <name val="Arial"/>
      <charset val="1"/>
    </font>
    <font>
      <b/>
      <sz val="10"/>
      <color rgb="FFFFFFFF"/>
      <name val="Arial"/>
      <charset val="1"/>
    </font>
    <font>
      <sz val="10"/>
      <name val="Arial"/>
      <charset val="1"/>
    </font>
    <font>
      <b/>
      <sz val="11"/>
      <name val="Aptos Display"/>
      <charset val="1"/>
    </font>
    <font>
      <sz val="11"/>
      <name val="Aptos Narrow"/>
      <charset val="1"/>
    </font>
    <font>
      <b/>
      <sz val="9"/>
      <color rgb="FF595959"/>
      <name val="Arial"/>
      <charset val="1"/>
    </font>
  </fonts>
  <fills count="4">
    <fill>
      <patternFill patternType="none"/>
    </fill>
    <fill>
      <patternFill patternType="gray125"/>
    </fill>
    <fill>
      <patternFill patternType="solid">
        <fgColor rgb="FF44546A"/>
        <bgColor rgb="FF595959"/>
      </patternFill>
    </fill>
    <fill>
      <patternFill patternType="solid">
        <fgColor theme="0" tint="-0.149998474074526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2" fillId="2" borderId="0" xfId="0" applyFont="1" applyFill="1" applyAlignment="1">
      <alignment vertical="center" wrapText="1"/>
    </xf>
    <xf numFmtId="0" fontId="3" fillId="0" borderId="2" xfId="0" applyFont="1" applyBorder="1"/>
    <xf numFmtId="10" fontId="3" fillId="0" borderId="2" xfId="0" applyNumberFormat="1" applyFont="1" applyBorder="1"/>
    <xf numFmtId="164" fontId="3" fillId="0" borderId="2" xfId="0" applyNumberFormat="1" applyFont="1" applyBorder="1"/>
    <xf numFmtId="0" fontId="6" fillId="0" borderId="0" xfId="0" applyFont="1" applyAlignment="1">
      <alignment wrapText="1"/>
    </xf>
    <xf numFmtId="0" fontId="4" fillId="3" borderId="1"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A5A00"/>
      <rgbColor rgb="FF800080"/>
      <rgbColor rgb="FF008080"/>
      <rgbColor rgb="FFC0C0C0"/>
      <rgbColor rgb="FF808080"/>
      <rgbColor rgb="FF9999FF"/>
      <rgbColor rgb="FF993366"/>
      <rgbColor rgb="FFFFF3C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A8252C"/>
      <rgbColor rgb="FF993366"/>
      <rgbColor rgb="FF44546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1"/>
  <sheetViews>
    <sheetView showGridLines="0" tabSelected="1" topLeftCell="J1" zoomScale="51" zoomScaleNormal="100" workbookViewId="0">
      <pane ySplit="1" topLeftCell="A2" activePane="bottomLeft" state="frozen"/>
      <selection pane="bottomLeft" activeCell="Y1" sqref="Y1"/>
    </sheetView>
  </sheetViews>
  <sheetFormatPr defaultColWidth="8.5703125" defaultRowHeight="14.45"/>
  <cols>
    <col min="1" max="1" width="6" customWidth="1"/>
    <col min="2" max="4" width="16" customWidth="1"/>
    <col min="5" max="11" width="13" customWidth="1"/>
    <col min="12" max="12" width="18" customWidth="1"/>
    <col min="13" max="16" width="13" customWidth="1"/>
    <col min="17" max="17" width="18" customWidth="1"/>
    <col min="18" max="24" width="13" customWidth="1"/>
    <col min="25" max="25" width="18" customWidth="1"/>
    <col min="26" max="29" width="13" customWidth="1"/>
    <col min="30" max="30" width="18" customWidth="1"/>
    <col min="31" max="37" width="13" customWidth="1"/>
    <col min="38" max="38" width="18" customWidth="1"/>
    <col min="39" max="42" width="13" customWidth="1"/>
    <col min="43" max="43" width="18" customWidth="1"/>
    <col min="44" max="52" width="45" customWidth="1"/>
    <col min="53" max="53" width="60" customWidth="1"/>
  </cols>
  <sheetData>
    <row r="1" spans="1:53" ht="30"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row>
    <row r="2" spans="1:53" ht="15" customHeight="1">
      <c r="A2" s="2">
        <v>1</v>
      </c>
      <c r="B2" s="2">
        <v>153433253</v>
      </c>
      <c r="C2" s="2" t="s">
        <v>53</v>
      </c>
      <c r="D2" s="2" t="s">
        <v>54</v>
      </c>
      <c r="E2" s="2">
        <v>0</v>
      </c>
      <c r="F2" s="2">
        <v>0</v>
      </c>
      <c r="G2" s="2">
        <v>0</v>
      </c>
      <c r="H2" s="2">
        <f t="shared" ref="H2:H33" si="0">E2-G2</f>
        <v>0</v>
      </c>
      <c r="I2" s="2">
        <f t="shared" ref="I2:I33" si="1">IF(E2=G2,1,0)</f>
        <v>1</v>
      </c>
      <c r="J2" s="2">
        <f t="shared" ref="J2:J33" si="2">IF(E2&gt;G2,1,0)</f>
        <v>0</v>
      </c>
      <c r="K2" s="2">
        <f t="shared" ref="K2:K33" si="3">IF(E2&lt;G2,1,0)</f>
        <v>0</v>
      </c>
      <c r="L2" s="2" t="str">
        <f t="shared" ref="L2:L33" si="4">IF(E2=G2,"Agreement",IF(E2&gt;G2,"Overestimation","Underestimation"))</f>
        <v>Agreement</v>
      </c>
      <c r="M2" s="2">
        <f t="shared" ref="M2:M33" si="5">F2-G2</f>
        <v>0</v>
      </c>
      <c r="N2" s="2">
        <f t="shared" ref="N2:N33" si="6">IF(F2=G2,1,0)</f>
        <v>1</v>
      </c>
      <c r="O2" s="2">
        <f t="shared" ref="O2:O33" si="7">IF(F2&gt;G2,1,0)</f>
        <v>0</v>
      </c>
      <c r="P2" s="2">
        <f t="shared" ref="P2:P33" si="8">IF(F2&lt;G2,1,0)</f>
        <v>0</v>
      </c>
      <c r="Q2" s="2" t="str">
        <f t="shared" ref="Q2:Q33" si="9">IF(F2=G2,"Agreement",IF(F2&gt;G2,"Overestimation","Underestimation"))</f>
        <v>Agreement</v>
      </c>
      <c r="R2" s="2">
        <v>-1</v>
      </c>
      <c r="S2" s="2">
        <v>-1</v>
      </c>
      <c r="T2" s="2">
        <v>2</v>
      </c>
      <c r="U2" s="2">
        <f t="shared" ref="U2:U33" si="10">R2-T2</f>
        <v>-3</v>
      </c>
      <c r="V2" s="2">
        <f t="shared" ref="V2:V33" si="11">IF(R2=T2,1,0)</f>
        <v>0</v>
      </c>
      <c r="W2" s="2">
        <f t="shared" ref="W2:W33" si="12">IF(R2&gt;T2,1,0)</f>
        <v>0</v>
      </c>
      <c r="X2" s="2">
        <f t="shared" ref="X2:X33" si="13">IF(R2&lt;T2,1,0)</f>
        <v>1</v>
      </c>
      <c r="Y2" s="2" t="str">
        <f t="shared" ref="Y2:Y33" si="14">IF(R2=T2,"Agreement",IF(R2&gt;T2,"Overestimation","Underestimation"))</f>
        <v>Underestimation</v>
      </c>
      <c r="Z2" s="2">
        <f t="shared" ref="Z2:Z33" si="15">S2-T2</f>
        <v>-3</v>
      </c>
      <c r="AA2" s="2">
        <f t="shared" ref="AA2:AA33" si="16">IF(S2=T2,1,0)</f>
        <v>0</v>
      </c>
      <c r="AB2" s="2">
        <f t="shared" ref="AB2:AB33" si="17">IF(S2&gt;T2,1,0)</f>
        <v>0</v>
      </c>
      <c r="AC2" s="2">
        <f t="shared" ref="AC2:AC33" si="18">IF(S2&lt;T2,1,0)</f>
        <v>1</v>
      </c>
      <c r="AD2" s="2" t="str">
        <f t="shared" ref="AD2:AD33" si="19">IF(S2=T2,"Agreement",IF(S2&gt;T2,"Overestimation","Underestimation"))</f>
        <v>Underestimation</v>
      </c>
      <c r="AE2" s="2">
        <v>0</v>
      </c>
      <c r="AF2" s="2">
        <v>1</v>
      </c>
      <c r="AG2" s="2">
        <v>1</v>
      </c>
      <c r="AH2" s="2">
        <f t="shared" ref="AH2:AH33" si="20">AE2-AG2</f>
        <v>-1</v>
      </c>
      <c r="AI2" s="2">
        <f t="shared" ref="AI2:AI33" si="21">IF(AE2=AG2,1,0)</f>
        <v>0</v>
      </c>
      <c r="AJ2" s="2">
        <f t="shared" ref="AJ2:AJ33" si="22">IF(AE2&gt;AG2,1,0)</f>
        <v>0</v>
      </c>
      <c r="AK2" s="2">
        <f t="shared" ref="AK2:AK33" si="23">IF(AE2&lt;AG2,1,0)</f>
        <v>1</v>
      </c>
      <c r="AL2" s="2" t="str">
        <f t="shared" ref="AL2:AL33" si="24">IF(AE2=AG2,"Agreement",IF(AE2&gt;AG2,"Overestimation","Underestimation"))</f>
        <v>Underestimation</v>
      </c>
      <c r="AM2" s="2">
        <f t="shared" ref="AM2:AM33" si="25">AF2-AG2</f>
        <v>0</v>
      </c>
      <c r="AN2" s="2">
        <f t="shared" ref="AN2:AN33" si="26">IF(AF2=AG2,1,0)</f>
        <v>1</v>
      </c>
      <c r="AO2" s="2">
        <f t="shared" ref="AO2:AO33" si="27">IF(AF2&gt;AG2,1,0)</f>
        <v>0</v>
      </c>
      <c r="AP2" s="2">
        <f t="shared" ref="AP2:AP33" si="28">IF(AF2&lt;AG2,1,0)</f>
        <v>0</v>
      </c>
      <c r="AQ2" s="2" t="str">
        <f t="shared" ref="AQ2:AQ33" si="29">IF(AF2=AG2,"Agreement",IF(AF2&gt;AG2,"Overestimation","Underestimation"))</f>
        <v>Agreement</v>
      </c>
      <c r="AR2" s="3" t="s">
        <v>55</v>
      </c>
      <c r="AS2" s="3" t="s">
        <v>55</v>
      </c>
      <c r="AT2" s="3" t="s">
        <v>55</v>
      </c>
      <c r="AU2" s="3" t="s">
        <v>56</v>
      </c>
      <c r="AV2" s="3" t="s">
        <v>56</v>
      </c>
      <c r="AW2" s="3" t="s">
        <v>57</v>
      </c>
      <c r="AX2" s="3" t="s">
        <v>58</v>
      </c>
      <c r="AY2" s="3" t="s">
        <v>59</v>
      </c>
      <c r="AZ2" s="3" t="s">
        <v>60</v>
      </c>
      <c r="BA2" s="3" t="s">
        <v>61</v>
      </c>
    </row>
    <row r="3" spans="1:53" ht="15" customHeight="1">
      <c r="A3" s="2">
        <v>2</v>
      </c>
      <c r="B3" s="2">
        <v>153433253</v>
      </c>
      <c r="C3" s="2" t="s">
        <v>53</v>
      </c>
      <c r="D3" s="2" t="s">
        <v>62</v>
      </c>
      <c r="E3" s="2">
        <v>0</v>
      </c>
      <c r="F3" s="2">
        <v>0</v>
      </c>
      <c r="G3" s="2">
        <v>0</v>
      </c>
      <c r="H3" s="2">
        <f t="shared" si="0"/>
        <v>0</v>
      </c>
      <c r="I3" s="2">
        <f t="shared" si="1"/>
        <v>1</v>
      </c>
      <c r="J3" s="2">
        <f t="shared" si="2"/>
        <v>0</v>
      </c>
      <c r="K3" s="2">
        <f t="shared" si="3"/>
        <v>0</v>
      </c>
      <c r="L3" s="2" t="str">
        <f t="shared" si="4"/>
        <v>Agreement</v>
      </c>
      <c r="M3" s="2">
        <f t="shared" si="5"/>
        <v>0</v>
      </c>
      <c r="N3" s="2">
        <f t="shared" si="6"/>
        <v>1</v>
      </c>
      <c r="O3" s="2">
        <f t="shared" si="7"/>
        <v>0</v>
      </c>
      <c r="P3" s="2">
        <f t="shared" si="8"/>
        <v>0</v>
      </c>
      <c r="Q3" s="2" t="str">
        <f t="shared" si="9"/>
        <v>Agreement</v>
      </c>
      <c r="R3" s="2">
        <v>-1</v>
      </c>
      <c r="S3" s="2">
        <v>-1</v>
      </c>
      <c r="T3" s="2">
        <v>2</v>
      </c>
      <c r="U3" s="2">
        <f t="shared" si="10"/>
        <v>-3</v>
      </c>
      <c r="V3" s="2">
        <f t="shared" si="11"/>
        <v>0</v>
      </c>
      <c r="W3" s="2">
        <f t="shared" si="12"/>
        <v>0</v>
      </c>
      <c r="X3" s="2">
        <f t="shared" si="13"/>
        <v>1</v>
      </c>
      <c r="Y3" s="2" t="str">
        <f t="shared" si="14"/>
        <v>Underestimation</v>
      </c>
      <c r="Z3" s="2">
        <f t="shared" si="15"/>
        <v>-3</v>
      </c>
      <c r="AA3" s="2">
        <f t="shared" si="16"/>
        <v>0</v>
      </c>
      <c r="AB3" s="2">
        <f t="shared" si="17"/>
        <v>0</v>
      </c>
      <c r="AC3" s="2">
        <f t="shared" si="18"/>
        <v>1</v>
      </c>
      <c r="AD3" s="2" t="str">
        <f t="shared" si="19"/>
        <v>Underestimation</v>
      </c>
      <c r="AE3" s="2">
        <v>0</v>
      </c>
      <c r="AF3" s="2">
        <v>1</v>
      </c>
      <c r="AG3" s="2">
        <v>1</v>
      </c>
      <c r="AH3" s="2">
        <f t="shared" si="20"/>
        <v>-1</v>
      </c>
      <c r="AI3" s="2">
        <f t="shared" si="21"/>
        <v>0</v>
      </c>
      <c r="AJ3" s="2">
        <f t="shared" si="22"/>
        <v>0</v>
      </c>
      <c r="AK3" s="2">
        <f t="shared" si="23"/>
        <v>1</v>
      </c>
      <c r="AL3" s="2" t="str">
        <f t="shared" si="24"/>
        <v>Underestimation</v>
      </c>
      <c r="AM3" s="2">
        <f t="shared" si="25"/>
        <v>0</v>
      </c>
      <c r="AN3" s="2">
        <f t="shared" si="26"/>
        <v>1</v>
      </c>
      <c r="AO3" s="2">
        <f t="shared" si="27"/>
        <v>0</v>
      </c>
      <c r="AP3" s="2">
        <f t="shared" si="28"/>
        <v>0</v>
      </c>
      <c r="AQ3" s="2" t="str">
        <f t="shared" si="29"/>
        <v>Agreement</v>
      </c>
      <c r="AR3" s="3" t="s">
        <v>55</v>
      </c>
      <c r="AS3" s="3" t="s">
        <v>55</v>
      </c>
      <c r="AT3" s="3" t="s">
        <v>55</v>
      </c>
      <c r="AU3" s="3" t="s">
        <v>63</v>
      </c>
      <c r="AV3" s="3" t="s">
        <v>63</v>
      </c>
      <c r="AW3" s="3" t="s">
        <v>57</v>
      </c>
      <c r="AX3" s="3" t="s">
        <v>58</v>
      </c>
      <c r="AY3" s="3" t="s">
        <v>64</v>
      </c>
      <c r="AZ3" s="3" t="s">
        <v>60</v>
      </c>
      <c r="BA3" s="3" t="s">
        <v>61</v>
      </c>
    </row>
    <row r="4" spans="1:53" ht="15" customHeight="1">
      <c r="A4" s="2">
        <v>3</v>
      </c>
      <c r="B4" s="2">
        <v>180595396</v>
      </c>
      <c r="C4" s="2" t="s">
        <v>65</v>
      </c>
      <c r="D4" s="2" t="s">
        <v>66</v>
      </c>
      <c r="E4" s="2">
        <v>0</v>
      </c>
      <c r="F4" s="2">
        <v>0</v>
      </c>
      <c r="G4" s="2">
        <v>0</v>
      </c>
      <c r="H4" s="2">
        <f t="shared" si="0"/>
        <v>0</v>
      </c>
      <c r="I4" s="2">
        <f t="shared" si="1"/>
        <v>1</v>
      </c>
      <c r="J4" s="2">
        <f t="shared" si="2"/>
        <v>0</v>
      </c>
      <c r="K4" s="2">
        <f t="shared" si="3"/>
        <v>0</v>
      </c>
      <c r="L4" s="2" t="str">
        <f t="shared" si="4"/>
        <v>Agreement</v>
      </c>
      <c r="M4" s="2">
        <f t="shared" si="5"/>
        <v>0</v>
      </c>
      <c r="N4" s="2">
        <f t="shared" si="6"/>
        <v>1</v>
      </c>
      <c r="O4" s="2">
        <f t="shared" si="7"/>
        <v>0</v>
      </c>
      <c r="P4" s="2">
        <f t="shared" si="8"/>
        <v>0</v>
      </c>
      <c r="Q4" s="2" t="str">
        <f t="shared" si="9"/>
        <v>Agreement</v>
      </c>
      <c r="R4" s="2">
        <v>-1</v>
      </c>
      <c r="S4" s="2">
        <v>-1</v>
      </c>
      <c r="T4" s="2">
        <v>-1</v>
      </c>
      <c r="U4" s="2">
        <f t="shared" si="10"/>
        <v>0</v>
      </c>
      <c r="V4" s="2">
        <f t="shared" si="11"/>
        <v>1</v>
      </c>
      <c r="W4" s="2">
        <f t="shared" si="12"/>
        <v>0</v>
      </c>
      <c r="X4" s="2">
        <f t="shared" si="13"/>
        <v>0</v>
      </c>
      <c r="Y4" s="2" t="str">
        <f t="shared" si="14"/>
        <v>Agreement</v>
      </c>
      <c r="Z4" s="2">
        <f t="shared" si="15"/>
        <v>0</v>
      </c>
      <c r="AA4" s="2">
        <f t="shared" si="16"/>
        <v>1</v>
      </c>
      <c r="AB4" s="2">
        <f t="shared" si="17"/>
        <v>0</v>
      </c>
      <c r="AC4" s="2">
        <f t="shared" si="18"/>
        <v>0</v>
      </c>
      <c r="AD4" s="2" t="str">
        <f t="shared" si="19"/>
        <v>Agreement</v>
      </c>
      <c r="AE4" s="2">
        <v>0</v>
      </c>
      <c r="AF4" s="2">
        <v>1</v>
      </c>
      <c r="AG4" s="2">
        <v>1</v>
      </c>
      <c r="AH4" s="2">
        <f t="shared" si="20"/>
        <v>-1</v>
      </c>
      <c r="AI4" s="2">
        <f t="shared" si="21"/>
        <v>0</v>
      </c>
      <c r="AJ4" s="2">
        <f t="shared" si="22"/>
        <v>0</v>
      </c>
      <c r="AK4" s="2">
        <f t="shared" si="23"/>
        <v>1</v>
      </c>
      <c r="AL4" s="2" t="str">
        <f t="shared" si="24"/>
        <v>Underestimation</v>
      </c>
      <c r="AM4" s="2">
        <f t="shared" si="25"/>
        <v>0</v>
      </c>
      <c r="AN4" s="2">
        <f t="shared" si="26"/>
        <v>1</v>
      </c>
      <c r="AO4" s="2">
        <f t="shared" si="27"/>
        <v>0</v>
      </c>
      <c r="AP4" s="2">
        <f t="shared" si="28"/>
        <v>0</v>
      </c>
      <c r="AQ4" s="2" t="str">
        <f t="shared" si="29"/>
        <v>Agreement</v>
      </c>
      <c r="AR4" s="3" t="s">
        <v>55</v>
      </c>
      <c r="AS4" s="3" t="s">
        <v>55</v>
      </c>
      <c r="AT4" s="3" t="s">
        <v>55</v>
      </c>
      <c r="AU4" s="3" t="s">
        <v>67</v>
      </c>
      <c r="AV4" s="3" t="s">
        <v>67</v>
      </c>
      <c r="AW4" s="3" t="s">
        <v>68</v>
      </c>
      <c r="AX4" s="3" t="s">
        <v>69</v>
      </c>
      <c r="AY4" s="3" t="s">
        <v>70</v>
      </c>
      <c r="AZ4" s="3" t="s">
        <v>60</v>
      </c>
      <c r="BA4" s="3" t="s">
        <v>71</v>
      </c>
    </row>
    <row r="5" spans="1:53" ht="15" customHeight="1">
      <c r="A5" s="2">
        <v>4</v>
      </c>
      <c r="B5" s="2">
        <v>194885198</v>
      </c>
      <c r="C5" s="2" t="s">
        <v>72</v>
      </c>
      <c r="D5" s="2" t="s">
        <v>73</v>
      </c>
      <c r="E5" s="2">
        <v>0</v>
      </c>
      <c r="F5" s="2">
        <v>0</v>
      </c>
      <c r="G5" s="2">
        <v>0</v>
      </c>
      <c r="H5" s="2">
        <f t="shared" si="0"/>
        <v>0</v>
      </c>
      <c r="I5" s="2">
        <f t="shared" si="1"/>
        <v>1</v>
      </c>
      <c r="J5" s="2">
        <f t="shared" si="2"/>
        <v>0</v>
      </c>
      <c r="K5" s="2">
        <f t="shared" si="3"/>
        <v>0</v>
      </c>
      <c r="L5" s="2" t="str">
        <f t="shared" si="4"/>
        <v>Agreement</v>
      </c>
      <c r="M5" s="2">
        <f t="shared" si="5"/>
        <v>0</v>
      </c>
      <c r="N5" s="2">
        <f t="shared" si="6"/>
        <v>1</v>
      </c>
      <c r="O5" s="2">
        <f t="shared" si="7"/>
        <v>0</v>
      </c>
      <c r="P5" s="2">
        <f t="shared" si="8"/>
        <v>0</v>
      </c>
      <c r="Q5" s="2" t="str">
        <f t="shared" si="9"/>
        <v>Agreement</v>
      </c>
      <c r="R5" s="2">
        <v>-1</v>
      </c>
      <c r="S5" s="2">
        <v>-1</v>
      </c>
      <c r="T5" s="2">
        <v>-1</v>
      </c>
      <c r="U5" s="2">
        <f t="shared" si="10"/>
        <v>0</v>
      </c>
      <c r="V5" s="2">
        <f t="shared" si="11"/>
        <v>1</v>
      </c>
      <c r="W5" s="2">
        <f t="shared" si="12"/>
        <v>0</v>
      </c>
      <c r="X5" s="2">
        <f t="shared" si="13"/>
        <v>0</v>
      </c>
      <c r="Y5" s="2" t="str">
        <f t="shared" si="14"/>
        <v>Agreement</v>
      </c>
      <c r="Z5" s="2">
        <f t="shared" si="15"/>
        <v>0</v>
      </c>
      <c r="AA5" s="2">
        <f t="shared" si="16"/>
        <v>1</v>
      </c>
      <c r="AB5" s="2">
        <f t="shared" si="17"/>
        <v>0</v>
      </c>
      <c r="AC5" s="2">
        <f t="shared" si="18"/>
        <v>0</v>
      </c>
      <c r="AD5" s="2" t="str">
        <f t="shared" si="19"/>
        <v>Agreement</v>
      </c>
      <c r="AE5" s="2">
        <v>0</v>
      </c>
      <c r="AF5" s="2">
        <v>1</v>
      </c>
      <c r="AG5" s="2">
        <v>1</v>
      </c>
      <c r="AH5" s="2">
        <f t="shared" si="20"/>
        <v>-1</v>
      </c>
      <c r="AI5" s="2">
        <f t="shared" si="21"/>
        <v>0</v>
      </c>
      <c r="AJ5" s="2">
        <f t="shared" si="22"/>
        <v>0</v>
      </c>
      <c r="AK5" s="2">
        <f t="shared" si="23"/>
        <v>1</v>
      </c>
      <c r="AL5" s="2" t="str">
        <f t="shared" si="24"/>
        <v>Underestimation</v>
      </c>
      <c r="AM5" s="2">
        <f t="shared" si="25"/>
        <v>0</v>
      </c>
      <c r="AN5" s="2">
        <f t="shared" si="26"/>
        <v>1</v>
      </c>
      <c r="AO5" s="2">
        <f t="shared" si="27"/>
        <v>0</v>
      </c>
      <c r="AP5" s="2">
        <f t="shared" si="28"/>
        <v>0</v>
      </c>
      <c r="AQ5" s="2" t="str">
        <f t="shared" si="29"/>
        <v>Agreement</v>
      </c>
      <c r="AR5" s="3" t="s">
        <v>55</v>
      </c>
      <c r="AS5" s="3" t="s">
        <v>55</v>
      </c>
      <c r="AT5" s="3" t="s">
        <v>55</v>
      </c>
      <c r="AU5" s="3" t="s">
        <v>74</v>
      </c>
      <c r="AV5" s="3" t="s">
        <v>74</v>
      </c>
      <c r="AW5" s="3" t="s">
        <v>75</v>
      </c>
      <c r="AX5" s="3" t="s">
        <v>76</v>
      </c>
      <c r="AY5" s="3" t="s">
        <v>77</v>
      </c>
      <c r="AZ5" s="3" t="s">
        <v>60</v>
      </c>
      <c r="BA5" s="3" t="s">
        <v>78</v>
      </c>
    </row>
    <row r="6" spans="1:53" ht="15" customHeight="1">
      <c r="A6" s="2">
        <v>5</v>
      </c>
      <c r="B6" s="2">
        <v>199363053</v>
      </c>
      <c r="C6" s="2" t="s">
        <v>72</v>
      </c>
      <c r="D6" s="2" t="s">
        <v>79</v>
      </c>
      <c r="E6" s="2">
        <v>0</v>
      </c>
      <c r="F6" s="2">
        <v>0</v>
      </c>
      <c r="G6" s="2">
        <v>0</v>
      </c>
      <c r="H6" s="2">
        <f t="shared" si="0"/>
        <v>0</v>
      </c>
      <c r="I6" s="2">
        <f t="shared" si="1"/>
        <v>1</v>
      </c>
      <c r="J6" s="2">
        <f t="shared" si="2"/>
        <v>0</v>
      </c>
      <c r="K6" s="2">
        <f t="shared" si="3"/>
        <v>0</v>
      </c>
      <c r="L6" s="2" t="str">
        <f t="shared" si="4"/>
        <v>Agreement</v>
      </c>
      <c r="M6" s="2">
        <f t="shared" si="5"/>
        <v>0</v>
      </c>
      <c r="N6" s="2">
        <f t="shared" si="6"/>
        <v>1</v>
      </c>
      <c r="O6" s="2">
        <f t="shared" si="7"/>
        <v>0</v>
      </c>
      <c r="P6" s="2">
        <f t="shared" si="8"/>
        <v>0</v>
      </c>
      <c r="Q6" s="2" t="str">
        <f t="shared" si="9"/>
        <v>Agreement</v>
      </c>
      <c r="R6" s="2">
        <v>-1</v>
      </c>
      <c r="S6" s="2">
        <v>-1</v>
      </c>
      <c r="T6" s="2">
        <v>-1</v>
      </c>
      <c r="U6" s="2">
        <f t="shared" si="10"/>
        <v>0</v>
      </c>
      <c r="V6" s="2">
        <f t="shared" si="11"/>
        <v>1</v>
      </c>
      <c r="W6" s="2">
        <f t="shared" si="12"/>
        <v>0</v>
      </c>
      <c r="X6" s="2">
        <f t="shared" si="13"/>
        <v>0</v>
      </c>
      <c r="Y6" s="2" t="str">
        <f t="shared" si="14"/>
        <v>Agreement</v>
      </c>
      <c r="Z6" s="2">
        <f t="shared" si="15"/>
        <v>0</v>
      </c>
      <c r="AA6" s="2">
        <f t="shared" si="16"/>
        <v>1</v>
      </c>
      <c r="AB6" s="2">
        <f t="shared" si="17"/>
        <v>0</v>
      </c>
      <c r="AC6" s="2">
        <f t="shared" si="18"/>
        <v>0</v>
      </c>
      <c r="AD6" s="2" t="str">
        <f t="shared" si="19"/>
        <v>Agreement</v>
      </c>
      <c r="AE6" s="2">
        <v>0</v>
      </c>
      <c r="AF6" s="2">
        <v>1</v>
      </c>
      <c r="AG6" s="2">
        <v>1</v>
      </c>
      <c r="AH6" s="2">
        <f t="shared" si="20"/>
        <v>-1</v>
      </c>
      <c r="AI6" s="2">
        <f t="shared" si="21"/>
        <v>0</v>
      </c>
      <c r="AJ6" s="2">
        <f t="shared" si="22"/>
        <v>0</v>
      </c>
      <c r="AK6" s="2">
        <f t="shared" si="23"/>
        <v>1</v>
      </c>
      <c r="AL6" s="2" t="str">
        <f t="shared" si="24"/>
        <v>Underestimation</v>
      </c>
      <c r="AM6" s="2">
        <f t="shared" si="25"/>
        <v>0</v>
      </c>
      <c r="AN6" s="2">
        <f t="shared" si="26"/>
        <v>1</v>
      </c>
      <c r="AO6" s="2">
        <f t="shared" si="27"/>
        <v>0</v>
      </c>
      <c r="AP6" s="2">
        <f t="shared" si="28"/>
        <v>0</v>
      </c>
      <c r="AQ6" s="2" t="str">
        <f t="shared" si="29"/>
        <v>Agreement</v>
      </c>
      <c r="AR6" s="3" t="s">
        <v>55</v>
      </c>
      <c r="AS6" s="3" t="s">
        <v>55</v>
      </c>
      <c r="AT6" s="3" t="s">
        <v>55</v>
      </c>
      <c r="AU6" s="3" t="s">
        <v>80</v>
      </c>
      <c r="AV6" s="3" t="s">
        <v>80</v>
      </c>
      <c r="AW6" s="3" t="s">
        <v>81</v>
      </c>
      <c r="AX6" s="3" t="s">
        <v>76</v>
      </c>
      <c r="AY6" s="3" t="s">
        <v>77</v>
      </c>
      <c r="AZ6" s="3" t="s">
        <v>60</v>
      </c>
      <c r="BA6" s="3" t="s">
        <v>82</v>
      </c>
    </row>
    <row r="7" spans="1:53" ht="15" customHeight="1">
      <c r="A7" s="2">
        <v>6</v>
      </c>
      <c r="B7" s="2">
        <v>204860093</v>
      </c>
      <c r="C7" s="2" t="s">
        <v>83</v>
      </c>
      <c r="D7" s="2" t="s">
        <v>84</v>
      </c>
      <c r="E7" s="2">
        <v>0</v>
      </c>
      <c r="F7" s="2">
        <v>0</v>
      </c>
      <c r="G7" s="2">
        <v>0</v>
      </c>
      <c r="H7" s="2">
        <f t="shared" si="0"/>
        <v>0</v>
      </c>
      <c r="I7" s="2">
        <f t="shared" si="1"/>
        <v>1</v>
      </c>
      <c r="J7" s="2">
        <f t="shared" si="2"/>
        <v>0</v>
      </c>
      <c r="K7" s="2">
        <f t="shared" si="3"/>
        <v>0</v>
      </c>
      <c r="L7" s="2" t="str">
        <f t="shared" si="4"/>
        <v>Agreement</v>
      </c>
      <c r="M7" s="2">
        <f t="shared" si="5"/>
        <v>0</v>
      </c>
      <c r="N7" s="2">
        <f t="shared" si="6"/>
        <v>1</v>
      </c>
      <c r="O7" s="2">
        <f t="shared" si="7"/>
        <v>0</v>
      </c>
      <c r="P7" s="2">
        <f t="shared" si="8"/>
        <v>0</v>
      </c>
      <c r="Q7" s="2" t="str">
        <f t="shared" si="9"/>
        <v>Agreement</v>
      </c>
      <c r="R7" s="2">
        <v>-1</v>
      </c>
      <c r="S7" s="2">
        <v>-1</v>
      </c>
      <c r="T7" s="2">
        <v>-1</v>
      </c>
      <c r="U7" s="2">
        <f t="shared" si="10"/>
        <v>0</v>
      </c>
      <c r="V7" s="2">
        <f t="shared" si="11"/>
        <v>1</v>
      </c>
      <c r="W7" s="2">
        <f t="shared" si="12"/>
        <v>0</v>
      </c>
      <c r="X7" s="2">
        <f t="shared" si="13"/>
        <v>0</v>
      </c>
      <c r="Y7" s="2" t="str">
        <f t="shared" si="14"/>
        <v>Agreement</v>
      </c>
      <c r="Z7" s="2">
        <f t="shared" si="15"/>
        <v>0</v>
      </c>
      <c r="AA7" s="2">
        <f t="shared" si="16"/>
        <v>1</v>
      </c>
      <c r="AB7" s="2">
        <f t="shared" si="17"/>
        <v>0</v>
      </c>
      <c r="AC7" s="2">
        <f t="shared" si="18"/>
        <v>0</v>
      </c>
      <c r="AD7" s="2" t="str">
        <f t="shared" si="19"/>
        <v>Agreement</v>
      </c>
      <c r="AE7" s="2">
        <v>0</v>
      </c>
      <c r="AF7" s="2">
        <v>1</v>
      </c>
      <c r="AG7" s="2">
        <v>1</v>
      </c>
      <c r="AH7" s="2">
        <f t="shared" si="20"/>
        <v>-1</v>
      </c>
      <c r="AI7" s="2">
        <f t="shared" si="21"/>
        <v>0</v>
      </c>
      <c r="AJ7" s="2">
        <f t="shared" si="22"/>
        <v>0</v>
      </c>
      <c r="AK7" s="2">
        <f t="shared" si="23"/>
        <v>1</v>
      </c>
      <c r="AL7" s="2" t="str">
        <f t="shared" si="24"/>
        <v>Underestimation</v>
      </c>
      <c r="AM7" s="2">
        <f t="shared" si="25"/>
        <v>0</v>
      </c>
      <c r="AN7" s="2">
        <f t="shared" si="26"/>
        <v>1</v>
      </c>
      <c r="AO7" s="2">
        <f t="shared" si="27"/>
        <v>0</v>
      </c>
      <c r="AP7" s="2">
        <f t="shared" si="28"/>
        <v>0</v>
      </c>
      <c r="AQ7" s="2" t="str">
        <f t="shared" si="29"/>
        <v>Agreement</v>
      </c>
      <c r="AR7" s="3" t="s">
        <v>55</v>
      </c>
      <c r="AS7" s="3" t="s">
        <v>55</v>
      </c>
      <c r="AT7" s="3" t="s">
        <v>55</v>
      </c>
      <c r="AU7" s="3" t="s">
        <v>85</v>
      </c>
      <c r="AV7" s="3" t="s">
        <v>85</v>
      </c>
      <c r="AW7" s="3" t="s">
        <v>86</v>
      </c>
      <c r="AX7" s="3" t="s">
        <v>87</v>
      </c>
      <c r="AY7" s="3" t="s">
        <v>88</v>
      </c>
      <c r="AZ7" s="3" t="s">
        <v>60</v>
      </c>
      <c r="BA7" s="3" t="s">
        <v>89</v>
      </c>
    </row>
    <row r="8" spans="1:53" ht="15" customHeight="1">
      <c r="A8" s="2">
        <v>7</v>
      </c>
      <c r="B8" s="2">
        <v>206654533</v>
      </c>
      <c r="C8" s="2" t="s">
        <v>65</v>
      </c>
      <c r="D8" s="2" t="s">
        <v>90</v>
      </c>
      <c r="E8" s="2">
        <v>0</v>
      </c>
      <c r="F8" s="2">
        <v>0</v>
      </c>
      <c r="G8" s="2">
        <v>0</v>
      </c>
      <c r="H8" s="2">
        <f t="shared" si="0"/>
        <v>0</v>
      </c>
      <c r="I8" s="2">
        <f t="shared" si="1"/>
        <v>1</v>
      </c>
      <c r="J8" s="2">
        <f t="shared" si="2"/>
        <v>0</v>
      </c>
      <c r="K8" s="2">
        <f t="shared" si="3"/>
        <v>0</v>
      </c>
      <c r="L8" s="2" t="str">
        <f t="shared" si="4"/>
        <v>Agreement</v>
      </c>
      <c r="M8" s="2">
        <f t="shared" si="5"/>
        <v>0</v>
      </c>
      <c r="N8" s="2">
        <f t="shared" si="6"/>
        <v>1</v>
      </c>
      <c r="O8" s="2">
        <f t="shared" si="7"/>
        <v>0</v>
      </c>
      <c r="P8" s="2">
        <f t="shared" si="8"/>
        <v>0</v>
      </c>
      <c r="Q8" s="2" t="str">
        <f t="shared" si="9"/>
        <v>Agreement</v>
      </c>
      <c r="R8" s="2">
        <v>-1</v>
      </c>
      <c r="S8" s="2">
        <v>-1</v>
      </c>
      <c r="T8" s="2">
        <v>-1</v>
      </c>
      <c r="U8" s="2">
        <f t="shared" si="10"/>
        <v>0</v>
      </c>
      <c r="V8" s="2">
        <f t="shared" si="11"/>
        <v>1</v>
      </c>
      <c r="W8" s="2">
        <f t="shared" si="12"/>
        <v>0</v>
      </c>
      <c r="X8" s="2">
        <f t="shared" si="13"/>
        <v>0</v>
      </c>
      <c r="Y8" s="2" t="str">
        <f t="shared" si="14"/>
        <v>Agreement</v>
      </c>
      <c r="Z8" s="2">
        <f t="shared" si="15"/>
        <v>0</v>
      </c>
      <c r="AA8" s="2">
        <f t="shared" si="16"/>
        <v>1</v>
      </c>
      <c r="AB8" s="2">
        <f t="shared" si="17"/>
        <v>0</v>
      </c>
      <c r="AC8" s="2">
        <f t="shared" si="18"/>
        <v>0</v>
      </c>
      <c r="AD8" s="2" t="str">
        <f t="shared" si="19"/>
        <v>Agreement</v>
      </c>
      <c r="AE8" s="2">
        <v>0</v>
      </c>
      <c r="AF8" s="2">
        <v>1</v>
      </c>
      <c r="AG8" s="2">
        <v>1</v>
      </c>
      <c r="AH8" s="2">
        <f t="shared" si="20"/>
        <v>-1</v>
      </c>
      <c r="AI8" s="2">
        <f t="shared" si="21"/>
        <v>0</v>
      </c>
      <c r="AJ8" s="2">
        <f t="shared" si="22"/>
        <v>0</v>
      </c>
      <c r="AK8" s="2">
        <f t="shared" si="23"/>
        <v>1</v>
      </c>
      <c r="AL8" s="2" t="str">
        <f t="shared" si="24"/>
        <v>Underestimation</v>
      </c>
      <c r="AM8" s="2">
        <f t="shared" si="25"/>
        <v>0</v>
      </c>
      <c r="AN8" s="2">
        <f t="shared" si="26"/>
        <v>1</v>
      </c>
      <c r="AO8" s="2">
        <f t="shared" si="27"/>
        <v>0</v>
      </c>
      <c r="AP8" s="2">
        <f t="shared" si="28"/>
        <v>0</v>
      </c>
      <c r="AQ8" s="2" t="str">
        <f t="shared" si="29"/>
        <v>Agreement</v>
      </c>
      <c r="AR8" s="3" t="s">
        <v>55</v>
      </c>
      <c r="AS8" s="3" t="s">
        <v>55</v>
      </c>
      <c r="AT8" s="3" t="s">
        <v>55</v>
      </c>
      <c r="AU8" s="3" t="s">
        <v>91</v>
      </c>
      <c r="AV8" s="3" t="s">
        <v>91</v>
      </c>
      <c r="AW8" s="3" t="s">
        <v>92</v>
      </c>
      <c r="AX8" s="3" t="s">
        <v>93</v>
      </c>
      <c r="AY8" s="3" t="s">
        <v>70</v>
      </c>
      <c r="AZ8" s="3" t="s">
        <v>60</v>
      </c>
      <c r="BA8" s="3" t="s">
        <v>94</v>
      </c>
    </row>
    <row r="9" spans="1:53" ht="15" customHeight="1">
      <c r="A9" s="2">
        <v>8</v>
      </c>
      <c r="B9" s="2">
        <v>208600024</v>
      </c>
      <c r="C9" s="2" t="s">
        <v>95</v>
      </c>
      <c r="D9" s="2" t="s">
        <v>96</v>
      </c>
      <c r="E9" s="2">
        <v>0</v>
      </c>
      <c r="F9" s="2">
        <v>0</v>
      </c>
      <c r="G9" s="2">
        <v>0</v>
      </c>
      <c r="H9" s="2">
        <f t="shared" si="0"/>
        <v>0</v>
      </c>
      <c r="I9" s="2">
        <f t="shared" si="1"/>
        <v>1</v>
      </c>
      <c r="J9" s="2">
        <f t="shared" si="2"/>
        <v>0</v>
      </c>
      <c r="K9" s="2">
        <f t="shared" si="3"/>
        <v>0</v>
      </c>
      <c r="L9" s="2" t="str">
        <f t="shared" si="4"/>
        <v>Agreement</v>
      </c>
      <c r="M9" s="2">
        <f t="shared" si="5"/>
        <v>0</v>
      </c>
      <c r="N9" s="2">
        <f t="shared" si="6"/>
        <v>1</v>
      </c>
      <c r="O9" s="2">
        <f t="shared" si="7"/>
        <v>0</v>
      </c>
      <c r="P9" s="2">
        <f t="shared" si="8"/>
        <v>0</v>
      </c>
      <c r="Q9" s="2" t="str">
        <f t="shared" si="9"/>
        <v>Agreement</v>
      </c>
      <c r="R9" s="2">
        <v>-1</v>
      </c>
      <c r="S9" s="2">
        <v>-1</v>
      </c>
      <c r="T9" s="2">
        <v>2</v>
      </c>
      <c r="U9" s="2">
        <f t="shared" si="10"/>
        <v>-3</v>
      </c>
      <c r="V9" s="2">
        <f t="shared" si="11"/>
        <v>0</v>
      </c>
      <c r="W9" s="2">
        <f t="shared" si="12"/>
        <v>0</v>
      </c>
      <c r="X9" s="2">
        <f t="shared" si="13"/>
        <v>1</v>
      </c>
      <c r="Y9" s="2" t="str">
        <f t="shared" si="14"/>
        <v>Underestimation</v>
      </c>
      <c r="Z9" s="2">
        <f t="shared" si="15"/>
        <v>-3</v>
      </c>
      <c r="AA9" s="2">
        <f t="shared" si="16"/>
        <v>0</v>
      </c>
      <c r="AB9" s="2">
        <f t="shared" si="17"/>
        <v>0</v>
      </c>
      <c r="AC9" s="2">
        <f t="shared" si="18"/>
        <v>1</v>
      </c>
      <c r="AD9" s="2" t="str">
        <f t="shared" si="19"/>
        <v>Underestimation</v>
      </c>
      <c r="AE9" s="2">
        <v>0</v>
      </c>
      <c r="AF9" s="2">
        <v>1</v>
      </c>
      <c r="AG9" s="2">
        <v>1</v>
      </c>
      <c r="AH9" s="2">
        <f t="shared" si="20"/>
        <v>-1</v>
      </c>
      <c r="AI9" s="2">
        <f t="shared" si="21"/>
        <v>0</v>
      </c>
      <c r="AJ9" s="2">
        <f t="shared" si="22"/>
        <v>0</v>
      </c>
      <c r="AK9" s="2">
        <f t="shared" si="23"/>
        <v>1</v>
      </c>
      <c r="AL9" s="2" t="str">
        <f t="shared" si="24"/>
        <v>Underestimation</v>
      </c>
      <c r="AM9" s="2">
        <f t="shared" si="25"/>
        <v>0</v>
      </c>
      <c r="AN9" s="2">
        <f t="shared" si="26"/>
        <v>1</v>
      </c>
      <c r="AO9" s="2">
        <f t="shared" si="27"/>
        <v>0</v>
      </c>
      <c r="AP9" s="2">
        <f t="shared" si="28"/>
        <v>0</v>
      </c>
      <c r="AQ9" s="2" t="str">
        <f t="shared" si="29"/>
        <v>Agreement</v>
      </c>
      <c r="AR9" s="3" t="s">
        <v>55</v>
      </c>
      <c r="AS9" s="3" t="s">
        <v>55</v>
      </c>
      <c r="AT9" s="3" t="s">
        <v>55</v>
      </c>
      <c r="AU9" s="3" t="s">
        <v>97</v>
      </c>
      <c r="AV9" s="3" t="s">
        <v>97</v>
      </c>
      <c r="AW9" s="3" t="s">
        <v>57</v>
      </c>
      <c r="AX9" s="3" t="s">
        <v>98</v>
      </c>
      <c r="AY9" s="3" t="s">
        <v>99</v>
      </c>
      <c r="AZ9" s="3" t="s">
        <v>60</v>
      </c>
      <c r="BA9" s="3" t="s">
        <v>100</v>
      </c>
    </row>
    <row r="10" spans="1:53" ht="15" customHeight="1">
      <c r="A10" s="2">
        <v>9</v>
      </c>
      <c r="B10" s="2">
        <v>211625704</v>
      </c>
      <c r="C10" s="2" t="s">
        <v>101</v>
      </c>
      <c r="D10" s="2" t="s">
        <v>102</v>
      </c>
      <c r="E10" s="2">
        <v>0</v>
      </c>
      <c r="F10" s="2">
        <v>0</v>
      </c>
      <c r="G10" s="2">
        <v>0</v>
      </c>
      <c r="H10" s="2">
        <f t="shared" si="0"/>
        <v>0</v>
      </c>
      <c r="I10" s="2">
        <f t="shared" si="1"/>
        <v>1</v>
      </c>
      <c r="J10" s="2">
        <f t="shared" si="2"/>
        <v>0</v>
      </c>
      <c r="K10" s="2">
        <f t="shared" si="3"/>
        <v>0</v>
      </c>
      <c r="L10" s="2" t="str">
        <f t="shared" si="4"/>
        <v>Agreement</v>
      </c>
      <c r="M10" s="2">
        <f t="shared" si="5"/>
        <v>0</v>
      </c>
      <c r="N10" s="2">
        <f t="shared" si="6"/>
        <v>1</v>
      </c>
      <c r="O10" s="2">
        <f t="shared" si="7"/>
        <v>0</v>
      </c>
      <c r="P10" s="2">
        <f t="shared" si="8"/>
        <v>0</v>
      </c>
      <c r="Q10" s="2" t="str">
        <f t="shared" si="9"/>
        <v>Agreement</v>
      </c>
      <c r="R10" s="2">
        <v>-1</v>
      </c>
      <c r="S10" s="2">
        <v>-1</v>
      </c>
      <c r="T10" s="2">
        <v>2</v>
      </c>
      <c r="U10" s="2">
        <f t="shared" si="10"/>
        <v>-3</v>
      </c>
      <c r="V10" s="2">
        <f t="shared" si="11"/>
        <v>0</v>
      </c>
      <c r="W10" s="2">
        <f t="shared" si="12"/>
        <v>0</v>
      </c>
      <c r="X10" s="2">
        <f t="shared" si="13"/>
        <v>1</v>
      </c>
      <c r="Y10" s="2" t="str">
        <f t="shared" si="14"/>
        <v>Underestimation</v>
      </c>
      <c r="Z10" s="2">
        <f t="shared" si="15"/>
        <v>-3</v>
      </c>
      <c r="AA10" s="2">
        <f t="shared" si="16"/>
        <v>0</v>
      </c>
      <c r="AB10" s="2">
        <f t="shared" si="17"/>
        <v>0</v>
      </c>
      <c r="AC10" s="2">
        <f t="shared" si="18"/>
        <v>1</v>
      </c>
      <c r="AD10" s="2" t="str">
        <f t="shared" si="19"/>
        <v>Underestimation</v>
      </c>
      <c r="AE10" s="2">
        <v>0</v>
      </c>
      <c r="AF10" s="2">
        <v>1</v>
      </c>
      <c r="AG10" s="2">
        <v>1</v>
      </c>
      <c r="AH10" s="2">
        <f t="shared" si="20"/>
        <v>-1</v>
      </c>
      <c r="AI10" s="2">
        <f t="shared" si="21"/>
        <v>0</v>
      </c>
      <c r="AJ10" s="2">
        <f t="shared" si="22"/>
        <v>0</v>
      </c>
      <c r="AK10" s="2">
        <f t="shared" si="23"/>
        <v>1</v>
      </c>
      <c r="AL10" s="2" t="str">
        <f t="shared" si="24"/>
        <v>Underestimation</v>
      </c>
      <c r="AM10" s="2">
        <f t="shared" si="25"/>
        <v>0</v>
      </c>
      <c r="AN10" s="2">
        <f t="shared" si="26"/>
        <v>1</v>
      </c>
      <c r="AO10" s="2">
        <f t="shared" si="27"/>
        <v>0</v>
      </c>
      <c r="AP10" s="2">
        <f t="shared" si="28"/>
        <v>0</v>
      </c>
      <c r="AQ10" s="2" t="str">
        <f t="shared" si="29"/>
        <v>Agreement</v>
      </c>
      <c r="AR10" s="3" t="s">
        <v>55</v>
      </c>
      <c r="AS10" s="3" t="s">
        <v>55</v>
      </c>
      <c r="AT10" s="3" t="s">
        <v>55</v>
      </c>
      <c r="AU10" s="3" t="s">
        <v>103</v>
      </c>
      <c r="AV10" s="3" t="s">
        <v>103</v>
      </c>
      <c r="AW10" s="3" t="s">
        <v>104</v>
      </c>
      <c r="AX10" s="3" t="s">
        <v>105</v>
      </c>
      <c r="AY10" s="3" t="s">
        <v>106</v>
      </c>
      <c r="AZ10" s="3" t="s">
        <v>60</v>
      </c>
      <c r="BA10" s="3" t="s">
        <v>107</v>
      </c>
    </row>
    <row r="11" spans="1:53" ht="15" customHeight="1">
      <c r="A11" s="2">
        <v>10</v>
      </c>
      <c r="B11" s="2">
        <v>214198192</v>
      </c>
      <c r="C11" s="2" t="s">
        <v>65</v>
      </c>
      <c r="D11" s="2" t="s">
        <v>108</v>
      </c>
      <c r="E11" s="2">
        <v>0</v>
      </c>
      <c r="F11" s="2">
        <v>0</v>
      </c>
      <c r="G11" s="2">
        <v>0</v>
      </c>
      <c r="H11" s="2">
        <f t="shared" si="0"/>
        <v>0</v>
      </c>
      <c r="I11" s="2">
        <f t="shared" si="1"/>
        <v>1</v>
      </c>
      <c r="J11" s="2">
        <f t="shared" si="2"/>
        <v>0</v>
      </c>
      <c r="K11" s="2">
        <f t="shared" si="3"/>
        <v>0</v>
      </c>
      <c r="L11" s="2" t="str">
        <f t="shared" si="4"/>
        <v>Agreement</v>
      </c>
      <c r="M11" s="2">
        <f t="shared" si="5"/>
        <v>0</v>
      </c>
      <c r="N11" s="2">
        <f t="shared" si="6"/>
        <v>1</v>
      </c>
      <c r="O11" s="2">
        <f t="shared" si="7"/>
        <v>0</v>
      </c>
      <c r="P11" s="2">
        <f t="shared" si="8"/>
        <v>0</v>
      </c>
      <c r="Q11" s="2" t="str">
        <f t="shared" si="9"/>
        <v>Agreement</v>
      </c>
      <c r="R11" s="2">
        <v>-1</v>
      </c>
      <c r="S11" s="2">
        <v>-1</v>
      </c>
      <c r="T11" s="2">
        <v>-1</v>
      </c>
      <c r="U11" s="2">
        <f t="shared" si="10"/>
        <v>0</v>
      </c>
      <c r="V11" s="2">
        <f t="shared" si="11"/>
        <v>1</v>
      </c>
      <c r="W11" s="2">
        <f t="shared" si="12"/>
        <v>0</v>
      </c>
      <c r="X11" s="2">
        <f t="shared" si="13"/>
        <v>0</v>
      </c>
      <c r="Y11" s="2" t="str">
        <f t="shared" si="14"/>
        <v>Agreement</v>
      </c>
      <c r="Z11" s="2">
        <f t="shared" si="15"/>
        <v>0</v>
      </c>
      <c r="AA11" s="2">
        <f t="shared" si="16"/>
        <v>1</v>
      </c>
      <c r="AB11" s="2">
        <f t="shared" si="17"/>
        <v>0</v>
      </c>
      <c r="AC11" s="2">
        <f t="shared" si="18"/>
        <v>0</v>
      </c>
      <c r="AD11" s="2" t="str">
        <f t="shared" si="19"/>
        <v>Agreement</v>
      </c>
      <c r="AE11" s="2">
        <v>0</v>
      </c>
      <c r="AF11" s="2">
        <v>1</v>
      </c>
      <c r="AG11" s="2">
        <v>1</v>
      </c>
      <c r="AH11" s="2">
        <f t="shared" si="20"/>
        <v>-1</v>
      </c>
      <c r="AI11" s="2">
        <f t="shared" si="21"/>
        <v>0</v>
      </c>
      <c r="AJ11" s="2">
        <f t="shared" si="22"/>
        <v>0</v>
      </c>
      <c r="AK11" s="2">
        <f t="shared" si="23"/>
        <v>1</v>
      </c>
      <c r="AL11" s="2" t="str">
        <f t="shared" si="24"/>
        <v>Underestimation</v>
      </c>
      <c r="AM11" s="2">
        <f t="shared" si="25"/>
        <v>0</v>
      </c>
      <c r="AN11" s="2">
        <f t="shared" si="26"/>
        <v>1</v>
      </c>
      <c r="AO11" s="2">
        <f t="shared" si="27"/>
        <v>0</v>
      </c>
      <c r="AP11" s="2">
        <f t="shared" si="28"/>
        <v>0</v>
      </c>
      <c r="AQ11" s="2" t="str">
        <f t="shared" si="29"/>
        <v>Agreement</v>
      </c>
      <c r="AR11" s="3" t="s">
        <v>55</v>
      </c>
      <c r="AS11" s="3" t="s">
        <v>55</v>
      </c>
      <c r="AT11" s="3" t="s">
        <v>55</v>
      </c>
      <c r="AU11" s="3" t="s">
        <v>109</v>
      </c>
      <c r="AV11" s="3" t="s">
        <v>109</v>
      </c>
      <c r="AW11" s="3" t="s">
        <v>110</v>
      </c>
      <c r="AX11" s="3" t="s">
        <v>93</v>
      </c>
      <c r="AY11" s="3" t="s">
        <v>70</v>
      </c>
      <c r="AZ11" s="3" t="s">
        <v>60</v>
      </c>
      <c r="BA11" s="3" t="s">
        <v>111</v>
      </c>
    </row>
    <row r="12" spans="1:53" ht="15" customHeight="1">
      <c r="A12" s="2">
        <v>11</v>
      </c>
      <c r="B12" s="2">
        <v>214662624</v>
      </c>
      <c r="C12" s="2" t="s">
        <v>112</v>
      </c>
      <c r="D12" s="2" t="s">
        <v>113</v>
      </c>
      <c r="E12" s="2">
        <v>0</v>
      </c>
      <c r="F12" s="2">
        <v>0</v>
      </c>
      <c r="G12" s="2">
        <v>0</v>
      </c>
      <c r="H12" s="2">
        <f t="shared" si="0"/>
        <v>0</v>
      </c>
      <c r="I12" s="2">
        <f t="shared" si="1"/>
        <v>1</v>
      </c>
      <c r="J12" s="2">
        <f t="shared" si="2"/>
        <v>0</v>
      </c>
      <c r="K12" s="2">
        <f t="shared" si="3"/>
        <v>0</v>
      </c>
      <c r="L12" s="2" t="str">
        <f t="shared" si="4"/>
        <v>Agreement</v>
      </c>
      <c r="M12" s="2">
        <f t="shared" si="5"/>
        <v>0</v>
      </c>
      <c r="N12" s="2">
        <f t="shared" si="6"/>
        <v>1</v>
      </c>
      <c r="O12" s="2">
        <f t="shared" si="7"/>
        <v>0</v>
      </c>
      <c r="P12" s="2">
        <f t="shared" si="8"/>
        <v>0</v>
      </c>
      <c r="Q12" s="2" t="str">
        <f t="shared" si="9"/>
        <v>Agreement</v>
      </c>
      <c r="R12" s="2">
        <v>-1</v>
      </c>
      <c r="S12" s="2">
        <v>-1</v>
      </c>
      <c r="T12" s="2">
        <v>-1</v>
      </c>
      <c r="U12" s="2">
        <f t="shared" si="10"/>
        <v>0</v>
      </c>
      <c r="V12" s="2">
        <f t="shared" si="11"/>
        <v>1</v>
      </c>
      <c r="W12" s="2">
        <f t="shared" si="12"/>
        <v>0</v>
      </c>
      <c r="X12" s="2">
        <f t="shared" si="13"/>
        <v>0</v>
      </c>
      <c r="Y12" s="2" t="str">
        <f t="shared" si="14"/>
        <v>Agreement</v>
      </c>
      <c r="Z12" s="2">
        <f t="shared" si="15"/>
        <v>0</v>
      </c>
      <c r="AA12" s="2">
        <f t="shared" si="16"/>
        <v>1</v>
      </c>
      <c r="AB12" s="2">
        <f t="shared" si="17"/>
        <v>0</v>
      </c>
      <c r="AC12" s="2">
        <f t="shared" si="18"/>
        <v>0</v>
      </c>
      <c r="AD12" s="2" t="str">
        <f t="shared" si="19"/>
        <v>Agreement</v>
      </c>
      <c r="AE12" s="2">
        <v>0</v>
      </c>
      <c r="AF12" s="2">
        <v>1</v>
      </c>
      <c r="AG12" s="2">
        <v>1</v>
      </c>
      <c r="AH12" s="2">
        <f t="shared" si="20"/>
        <v>-1</v>
      </c>
      <c r="AI12" s="2">
        <f t="shared" si="21"/>
        <v>0</v>
      </c>
      <c r="AJ12" s="2">
        <f t="shared" si="22"/>
        <v>0</v>
      </c>
      <c r="AK12" s="2">
        <f t="shared" si="23"/>
        <v>1</v>
      </c>
      <c r="AL12" s="2" t="str">
        <f t="shared" si="24"/>
        <v>Underestimation</v>
      </c>
      <c r="AM12" s="2">
        <f t="shared" si="25"/>
        <v>0</v>
      </c>
      <c r="AN12" s="2">
        <f t="shared" si="26"/>
        <v>1</v>
      </c>
      <c r="AO12" s="2">
        <f t="shared" si="27"/>
        <v>0</v>
      </c>
      <c r="AP12" s="2">
        <f t="shared" si="28"/>
        <v>0</v>
      </c>
      <c r="AQ12" s="2" t="str">
        <f t="shared" si="29"/>
        <v>Agreement</v>
      </c>
      <c r="AR12" s="3" t="s">
        <v>55</v>
      </c>
      <c r="AS12" s="3" t="s">
        <v>55</v>
      </c>
      <c r="AT12" s="3" t="s">
        <v>55</v>
      </c>
      <c r="AU12" s="3" t="s">
        <v>114</v>
      </c>
      <c r="AV12" s="3" t="s">
        <v>114</v>
      </c>
      <c r="AW12" s="3" t="s">
        <v>115</v>
      </c>
      <c r="AX12" s="3" t="s">
        <v>116</v>
      </c>
      <c r="AY12" s="3" t="s">
        <v>117</v>
      </c>
      <c r="AZ12" s="3" t="s">
        <v>60</v>
      </c>
      <c r="BA12" s="3" t="s">
        <v>118</v>
      </c>
    </row>
    <row r="13" spans="1:53" ht="15" customHeight="1">
      <c r="A13" s="2">
        <v>12</v>
      </c>
      <c r="B13" s="2">
        <v>217413962</v>
      </c>
      <c r="C13" s="2" t="s">
        <v>119</v>
      </c>
      <c r="D13" s="2" t="s">
        <v>120</v>
      </c>
      <c r="E13" s="2">
        <v>0</v>
      </c>
      <c r="F13" s="2">
        <v>0</v>
      </c>
      <c r="G13" s="2">
        <v>0</v>
      </c>
      <c r="H13" s="2">
        <f t="shared" si="0"/>
        <v>0</v>
      </c>
      <c r="I13" s="2">
        <f t="shared" si="1"/>
        <v>1</v>
      </c>
      <c r="J13" s="2">
        <f t="shared" si="2"/>
        <v>0</v>
      </c>
      <c r="K13" s="2">
        <f t="shared" si="3"/>
        <v>0</v>
      </c>
      <c r="L13" s="2" t="str">
        <f t="shared" si="4"/>
        <v>Agreement</v>
      </c>
      <c r="M13" s="2">
        <f t="shared" si="5"/>
        <v>0</v>
      </c>
      <c r="N13" s="2">
        <f t="shared" si="6"/>
        <v>1</v>
      </c>
      <c r="O13" s="2">
        <f t="shared" si="7"/>
        <v>0</v>
      </c>
      <c r="P13" s="2">
        <f t="shared" si="8"/>
        <v>0</v>
      </c>
      <c r="Q13" s="2" t="str">
        <f t="shared" si="9"/>
        <v>Agreement</v>
      </c>
      <c r="R13" s="2">
        <v>-1</v>
      </c>
      <c r="S13" s="2">
        <v>-1</v>
      </c>
      <c r="T13" s="2">
        <v>2</v>
      </c>
      <c r="U13" s="2">
        <f t="shared" si="10"/>
        <v>-3</v>
      </c>
      <c r="V13" s="2">
        <f t="shared" si="11"/>
        <v>0</v>
      </c>
      <c r="W13" s="2">
        <f t="shared" si="12"/>
        <v>0</v>
      </c>
      <c r="X13" s="2">
        <f t="shared" si="13"/>
        <v>1</v>
      </c>
      <c r="Y13" s="2" t="str">
        <f t="shared" si="14"/>
        <v>Underestimation</v>
      </c>
      <c r="Z13" s="2">
        <f t="shared" si="15"/>
        <v>-3</v>
      </c>
      <c r="AA13" s="2">
        <f t="shared" si="16"/>
        <v>0</v>
      </c>
      <c r="AB13" s="2">
        <f t="shared" si="17"/>
        <v>0</v>
      </c>
      <c r="AC13" s="2">
        <f t="shared" si="18"/>
        <v>1</v>
      </c>
      <c r="AD13" s="2" t="str">
        <f t="shared" si="19"/>
        <v>Underestimation</v>
      </c>
      <c r="AE13" s="2">
        <v>0</v>
      </c>
      <c r="AF13" s="2">
        <v>1</v>
      </c>
      <c r="AG13" s="2">
        <v>1</v>
      </c>
      <c r="AH13" s="2">
        <f t="shared" si="20"/>
        <v>-1</v>
      </c>
      <c r="AI13" s="2">
        <f t="shared" si="21"/>
        <v>0</v>
      </c>
      <c r="AJ13" s="2">
        <f t="shared" si="22"/>
        <v>0</v>
      </c>
      <c r="AK13" s="2">
        <f t="shared" si="23"/>
        <v>1</v>
      </c>
      <c r="AL13" s="2" t="str">
        <f t="shared" si="24"/>
        <v>Underestimation</v>
      </c>
      <c r="AM13" s="2">
        <f t="shared" si="25"/>
        <v>0</v>
      </c>
      <c r="AN13" s="2">
        <f t="shared" si="26"/>
        <v>1</v>
      </c>
      <c r="AO13" s="2">
        <f t="shared" si="27"/>
        <v>0</v>
      </c>
      <c r="AP13" s="2">
        <f t="shared" si="28"/>
        <v>0</v>
      </c>
      <c r="AQ13" s="2" t="str">
        <f t="shared" si="29"/>
        <v>Agreement</v>
      </c>
      <c r="AR13" s="3" t="s">
        <v>55</v>
      </c>
      <c r="AS13" s="3" t="s">
        <v>55</v>
      </c>
      <c r="AT13" s="3" t="s">
        <v>55</v>
      </c>
      <c r="AU13" s="3" t="s">
        <v>121</v>
      </c>
      <c r="AV13" s="3" t="s">
        <v>121</v>
      </c>
      <c r="AW13" s="3" t="s">
        <v>122</v>
      </c>
      <c r="AX13" s="3" t="s">
        <v>123</v>
      </c>
      <c r="AY13" s="3" t="s">
        <v>124</v>
      </c>
      <c r="AZ13" s="3" t="s">
        <v>60</v>
      </c>
      <c r="BA13" s="3" t="s">
        <v>125</v>
      </c>
    </row>
    <row r="14" spans="1:53" ht="15" customHeight="1">
      <c r="A14" s="2">
        <v>13</v>
      </c>
      <c r="B14" s="2">
        <v>217413962</v>
      </c>
      <c r="C14" s="2" t="s">
        <v>72</v>
      </c>
      <c r="D14" s="2" t="s">
        <v>120</v>
      </c>
      <c r="E14" s="2">
        <v>0</v>
      </c>
      <c r="F14" s="2">
        <v>0</v>
      </c>
      <c r="G14" s="2">
        <v>0</v>
      </c>
      <c r="H14" s="2">
        <f t="shared" si="0"/>
        <v>0</v>
      </c>
      <c r="I14" s="2">
        <f t="shared" si="1"/>
        <v>1</v>
      </c>
      <c r="J14" s="2">
        <f t="shared" si="2"/>
        <v>0</v>
      </c>
      <c r="K14" s="2">
        <f t="shared" si="3"/>
        <v>0</v>
      </c>
      <c r="L14" s="2" t="str">
        <f t="shared" si="4"/>
        <v>Agreement</v>
      </c>
      <c r="M14" s="2">
        <f t="shared" si="5"/>
        <v>0</v>
      </c>
      <c r="N14" s="2">
        <f t="shared" si="6"/>
        <v>1</v>
      </c>
      <c r="O14" s="2">
        <f t="shared" si="7"/>
        <v>0</v>
      </c>
      <c r="P14" s="2">
        <f t="shared" si="8"/>
        <v>0</v>
      </c>
      <c r="Q14" s="2" t="str">
        <f t="shared" si="9"/>
        <v>Agreement</v>
      </c>
      <c r="R14" s="2">
        <v>-1</v>
      </c>
      <c r="S14" s="2">
        <v>-1</v>
      </c>
      <c r="T14" s="2">
        <v>-1</v>
      </c>
      <c r="U14" s="2">
        <f t="shared" si="10"/>
        <v>0</v>
      </c>
      <c r="V14" s="2">
        <f t="shared" si="11"/>
        <v>1</v>
      </c>
      <c r="W14" s="2">
        <f t="shared" si="12"/>
        <v>0</v>
      </c>
      <c r="X14" s="2">
        <f t="shared" si="13"/>
        <v>0</v>
      </c>
      <c r="Y14" s="2" t="str">
        <f t="shared" si="14"/>
        <v>Agreement</v>
      </c>
      <c r="Z14" s="2">
        <f t="shared" si="15"/>
        <v>0</v>
      </c>
      <c r="AA14" s="2">
        <f t="shared" si="16"/>
        <v>1</v>
      </c>
      <c r="AB14" s="2">
        <f t="shared" si="17"/>
        <v>0</v>
      </c>
      <c r="AC14" s="2">
        <f t="shared" si="18"/>
        <v>0</v>
      </c>
      <c r="AD14" s="2" t="str">
        <f t="shared" si="19"/>
        <v>Agreement</v>
      </c>
      <c r="AE14" s="2">
        <v>0</v>
      </c>
      <c r="AF14" s="2">
        <v>1</v>
      </c>
      <c r="AG14" s="2">
        <v>1</v>
      </c>
      <c r="AH14" s="2">
        <f t="shared" si="20"/>
        <v>-1</v>
      </c>
      <c r="AI14" s="2">
        <f t="shared" si="21"/>
        <v>0</v>
      </c>
      <c r="AJ14" s="2">
        <f t="shared" si="22"/>
        <v>0</v>
      </c>
      <c r="AK14" s="2">
        <f t="shared" si="23"/>
        <v>1</v>
      </c>
      <c r="AL14" s="2" t="str">
        <f t="shared" si="24"/>
        <v>Underestimation</v>
      </c>
      <c r="AM14" s="2">
        <f t="shared" si="25"/>
        <v>0</v>
      </c>
      <c r="AN14" s="2">
        <f t="shared" si="26"/>
        <v>1</v>
      </c>
      <c r="AO14" s="2">
        <f t="shared" si="27"/>
        <v>0</v>
      </c>
      <c r="AP14" s="2">
        <f t="shared" si="28"/>
        <v>0</v>
      </c>
      <c r="AQ14" s="2" t="str">
        <f t="shared" si="29"/>
        <v>Agreement</v>
      </c>
      <c r="AR14" s="3" t="s">
        <v>55</v>
      </c>
      <c r="AS14" s="3" t="s">
        <v>55</v>
      </c>
      <c r="AT14" s="3" t="s">
        <v>55</v>
      </c>
      <c r="AU14" s="3" t="s">
        <v>126</v>
      </c>
      <c r="AV14" s="3" t="s">
        <v>126</v>
      </c>
      <c r="AW14" s="3" t="s">
        <v>127</v>
      </c>
      <c r="AX14" s="3" t="s">
        <v>128</v>
      </c>
      <c r="AY14" s="3" t="s">
        <v>77</v>
      </c>
      <c r="AZ14" s="3" t="s">
        <v>60</v>
      </c>
      <c r="BA14" s="3" t="s">
        <v>125</v>
      </c>
    </row>
    <row r="15" spans="1:53" ht="15" customHeight="1">
      <c r="A15" s="2">
        <v>14</v>
      </c>
      <c r="B15" s="2">
        <v>220578453</v>
      </c>
      <c r="C15" s="2" t="s">
        <v>83</v>
      </c>
      <c r="D15" s="2" t="s">
        <v>129</v>
      </c>
      <c r="E15" s="2">
        <v>0</v>
      </c>
      <c r="F15" s="2">
        <v>0</v>
      </c>
      <c r="G15" s="2">
        <v>0</v>
      </c>
      <c r="H15" s="2">
        <f t="shared" si="0"/>
        <v>0</v>
      </c>
      <c r="I15" s="2">
        <f t="shared" si="1"/>
        <v>1</v>
      </c>
      <c r="J15" s="2">
        <f t="shared" si="2"/>
        <v>0</v>
      </c>
      <c r="K15" s="2">
        <f t="shared" si="3"/>
        <v>0</v>
      </c>
      <c r="L15" s="2" t="str">
        <f t="shared" si="4"/>
        <v>Agreement</v>
      </c>
      <c r="M15" s="2">
        <f t="shared" si="5"/>
        <v>0</v>
      </c>
      <c r="N15" s="2">
        <f t="shared" si="6"/>
        <v>1</v>
      </c>
      <c r="O15" s="2">
        <f t="shared" si="7"/>
        <v>0</v>
      </c>
      <c r="P15" s="2">
        <f t="shared" si="8"/>
        <v>0</v>
      </c>
      <c r="Q15" s="2" t="str">
        <f t="shared" si="9"/>
        <v>Agreement</v>
      </c>
      <c r="R15" s="2">
        <v>-1</v>
      </c>
      <c r="S15" s="2">
        <v>-1</v>
      </c>
      <c r="T15" s="2">
        <v>-1</v>
      </c>
      <c r="U15" s="2">
        <f t="shared" si="10"/>
        <v>0</v>
      </c>
      <c r="V15" s="2">
        <f t="shared" si="11"/>
        <v>1</v>
      </c>
      <c r="W15" s="2">
        <f t="shared" si="12"/>
        <v>0</v>
      </c>
      <c r="X15" s="2">
        <f t="shared" si="13"/>
        <v>0</v>
      </c>
      <c r="Y15" s="2" t="str">
        <f t="shared" si="14"/>
        <v>Agreement</v>
      </c>
      <c r="Z15" s="2">
        <f t="shared" si="15"/>
        <v>0</v>
      </c>
      <c r="AA15" s="2">
        <f t="shared" si="16"/>
        <v>1</v>
      </c>
      <c r="AB15" s="2">
        <f t="shared" si="17"/>
        <v>0</v>
      </c>
      <c r="AC15" s="2">
        <f t="shared" si="18"/>
        <v>0</v>
      </c>
      <c r="AD15" s="2" t="str">
        <f t="shared" si="19"/>
        <v>Agreement</v>
      </c>
      <c r="AE15" s="2">
        <v>0</v>
      </c>
      <c r="AF15" s="2">
        <v>1</v>
      </c>
      <c r="AG15" s="2">
        <v>1</v>
      </c>
      <c r="AH15" s="2">
        <f t="shared" si="20"/>
        <v>-1</v>
      </c>
      <c r="AI15" s="2">
        <f t="shared" si="21"/>
        <v>0</v>
      </c>
      <c r="AJ15" s="2">
        <f t="shared" si="22"/>
        <v>0</v>
      </c>
      <c r="AK15" s="2">
        <f t="shared" si="23"/>
        <v>1</v>
      </c>
      <c r="AL15" s="2" t="str">
        <f t="shared" si="24"/>
        <v>Underestimation</v>
      </c>
      <c r="AM15" s="2">
        <f t="shared" si="25"/>
        <v>0</v>
      </c>
      <c r="AN15" s="2">
        <f t="shared" si="26"/>
        <v>1</v>
      </c>
      <c r="AO15" s="2">
        <f t="shared" si="27"/>
        <v>0</v>
      </c>
      <c r="AP15" s="2">
        <f t="shared" si="28"/>
        <v>0</v>
      </c>
      <c r="AQ15" s="2" t="str">
        <f t="shared" si="29"/>
        <v>Agreement</v>
      </c>
      <c r="AR15" s="3" t="s">
        <v>55</v>
      </c>
      <c r="AS15" s="3" t="s">
        <v>55</v>
      </c>
      <c r="AT15" s="3" t="s">
        <v>55</v>
      </c>
      <c r="AU15" s="3" t="s">
        <v>130</v>
      </c>
      <c r="AV15" s="3" t="s">
        <v>130</v>
      </c>
      <c r="AW15" s="3" t="s">
        <v>131</v>
      </c>
      <c r="AX15" s="3" t="s">
        <v>132</v>
      </c>
      <c r="AY15" s="3" t="s">
        <v>133</v>
      </c>
      <c r="AZ15" s="3" t="s">
        <v>60</v>
      </c>
      <c r="BA15" s="3" t="s">
        <v>134</v>
      </c>
    </row>
    <row r="16" spans="1:53" ht="15" customHeight="1">
      <c r="A16" s="2">
        <v>15</v>
      </c>
      <c r="B16" s="2">
        <v>220728806</v>
      </c>
      <c r="C16" s="2" t="s">
        <v>101</v>
      </c>
      <c r="D16" s="2" t="s">
        <v>135</v>
      </c>
      <c r="E16" s="2">
        <v>0</v>
      </c>
      <c r="F16" s="2">
        <v>0</v>
      </c>
      <c r="G16" s="2">
        <v>0</v>
      </c>
      <c r="H16" s="2">
        <f t="shared" si="0"/>
        <v>0</v>
      </c>
      <c r="I16" s="2">
        <f t="shared" si="1"/>
        <v>1</v>
      </c>
      <c r="J16" s="2">
        <f t="shared" si="2"/>
        <v>0</v>
      </c>
      <c r="K16" s="2">
        <f t="shared" si="3"/>
        <v>0</v>
      </c>
      <c r="L16" s="2" t="str">
        <f t="shared" si="4"/>
        <v>Agreement</v>
      </c>
      <c r="M16" s="2">
        <f t="shared" si="5"/>
        <v>0</v>
      </c>
      <c r="N16" s="2">
        <f t="shared" si="6"/>
        <v>1</v>
      </c>
      <c r="O16" s="2">
        <f t="shared" si="7"/>
        <v>0</v>
      </c>
      <c r="P16" s="2">
        <f t="shared" si="8"/>
        <v>0</v>
      </c>
      <c r="Q16" s="2" t="str">
        <f t="shared" si="9"/>
        <v>Agreement</v>
      </c>
      <c r="R16" s="2">
        <v>-1</v>
      </c>
      <c r="S16" s="2">
        <v>-1</v>
      </c>
      <c r="T16" s="2">
        <v>2</v>
      </c>
      <c r="U16" s="2">
        <f t="shared" si="10"/>
        <v>-3</v>
      </c>
      <c r="V16" s="2">
        <f t="shared" si="11"/>
        <v>0</v>
      </c>
      <c r="W16" s="2">
        <f t="shared" si="12"/>
        <v>0</v>
      </c>
      <c r="X16" s="2">
        <f t="shared" si="13"/>
        <v>1</v>
      </c>
      <c r="Y16" s="2" t="str">
        <f t="shared" si="14"/>
        <v>Underestimation</v>
      </c>
      <c r="Z16" s="2">
        <f t="shared" si="15"/>
        <v>-3</v>
      </c>
      <c r="AA16" s="2">
        <f t="shared" si="16"/>
        <v>0</v>
      </c>
      <c r="AB16" s="2">
        <f t="shared" si="17"/>
        <v>0</v>
      </c>
      <c r="AC16" s="2">
        <f t="shared" si="18"/>
        <v>1</v>
      </c>
      <c r="AD16" s="2" t="str">
        <f t="shared" si="19"/>
        <v>Underestimation</v>
      </c>
      <c r="AE16" s="2">
        <v>0</v>
      </c>
      <c r="AF16" s="2">
        <v>1</v>
      </c>
      <c r="AG16" s="2">
        <v>1</v>
      </c>
      <c r="AH16" s="2">
        <f t="shared" si="20"/>
        <v>-1</v>
      </c>
      <c r="AI16" s="2">
        <f t="shared" si="21"/>
        <v>0</v>
      </c>
      <c r="AJ16" s="2">
        <f t="shared" si="22"/>
        <v>0</v>
      </c>
      <c r="AK16" s="2">
        <f t="shared" si="23"/>
        <v>1</v>
      </c>
      <c r="AL16" s="2" t="str">
        <f t="shared" si="24"/>
        <v>Underestimation</v>
      </c>
      <c r="AM16" s="2">
        <f t="shared" si="25"/>
        <v>0</v>
      </c>
      <c r="AN16" s="2">
        <f t="shared" si="26"/>
        <v>1</v>
      </c>
      <c r="AO16" s="2">
        <f t="shared" si="27"/>
        <v>0</v>
      </c>
      <c r="AP16" s="2">
        <f t="shared" si="28"/>
        <v>0</v>
      </c>
      <c r="AQ16" s="2" t="str">
        <f t="shared" si="29"/>
        <v>Agreement</v>
      </c>
      <c r="AR16" s="3" t="s">
        <v>55</v>
      </c>
      <c r="AS16" s="3" t="s">
        <v>55</v>
      </c>
      <c r="AT16" s="3" t="s">
        <v>55</v>
      </c>
      <c r="AU16" s="3" t="s">
        <v>136</v>
      </c>
      <c r="AV16" s="3" t="s">
        <v>136</v>
      </c>
      <c r="AW16" s="3" t="s">
        <v>104</v>
      </c>
      <c r="AX16" s="3" t="s">
        <v>137</v>
      </c>
      <c r="AY16" s="3" t="s">
        <v>106</v>
      </c>
      <c r="AZ16" s="3" t="s">
        <v>60</v>
      </c>
      <c r="BA16" s="3" t="s">
        <v>138</v>
      </c>
    </row>
    <row r="17" spans="1:53" ht="15" customHeight="1">
      <c r="A17" s="2">
        <v>16</v>
      </c>
      <c r="B17" s="2">
        <v>223339302</v>
      </c>
      <c r="C17" s="2" t="s">
        <v>101</v>
      </c>
      <c r="D17" s="2" t="s">
        <v>139</v>
      </c>
      <c r="E17" s="2">
        <v>0</v>
      </c>
      <c r="F17" s="2">
        <v>0</v>
      </c>
      <c r="G17" s="2">
        <v>0</v>
      </c>
      <c r="H17" s="2">
        <f t="shared" si="0"/>
        <v>0</v>
      </c>
      <c r="I17" s="2">
        <f t="shared" si="1"/>
        <v>1</v>
      </c>
      <c r="J17" s="2">
        <f t="shared" si="2"/>
        <v>0</v>
      </c>
      <c r="K17" s="2">
        <f t="shared" si="3"/>
        <v>0</v>
      </c>
      <c r="L17" s="2" t="str">
        <f t="shared" si="4"/>
        <v>Agreement</v>
      </c>
      <c r="M17" s="2">
        <f t="shared" si="5"/>
        <v>0</v>
      </c>
      <c r="N17" s="2">
        <f t="shared" si="6"/>
        <v>1</v>
      </c>
      <c r="O17" s="2">
        <f t="shared" si="7"/>
        <v>0</v>
      </c>
      <c r="P17" s="2">
        <f t="shared" si="8"/>
        <v>0</v>
      </c>
      <c r="Q17" s="2" t="str">
        <f t="shared" si="9"/>
        <v>Agreement</v>
      </c>
      <c r="R17" s="2">
        <v>-1</v>
      </c>
      <c r="S17" s="2">
        <v>-1</v>
      </c>
      <c r="T17" s="2">
        <v>2</v>
      </c>
      <c r="U17" s="2">
        <f t="shared" si="10"/>
        <v>-3</v>
      </c>
      <c r="V17" s="2">
        <f t="shared" si="11"/>
        <v>0</v>
      </c>
      <c r="W17" s="2">
        <f t="shared" si="12"/>
        <v>0</v>
      </c>
      <c r="X17" s="2">
        <f t="shared" si="13"/>
        <v>1</v>
      </c>
      <c r="Y17" s="2" t="str">
        <f t="shared" si="14"/>
        <v>Underestimation</v>
      </c>
      <c r="Z17" s="2">
        <f t="shared" si="15"/>
        <v>-3</v>
      </c>
      <c r="AA17" s="2">
        <f t="shared" si="16"/>
        <v>0</v>
      </c>
      <c r="AB17" s="2">
        <f t="shared" si="17"/>
        <v>0</v>
      </c>
      <c r="AC17" s="2">
        <f t="shared" si="18"/>
        <v>1</v>
      </c>
      <c r="AD17" s="2" t="str">
        <f t="shared" si="19"/>
        <v>Underestimation</v>
      </c>
      <c r="AE17" s="2">
        <v>0</v>
      </c>
      <c r="AF17" s="2">
        <v>1</v>
      </c>
      <c r="AG17" s="2">
        <v>1</v>
      </c>
      <c r="AH17" s="2">
        <f t="shared" si="20"/>
        <v>-1</v>
      </c>
      <c r="AI17" s="2">
        <f t="shared" si="21"/>
        <v>0</v>
      </c>
      <c r="AJ17" s="2">
        <f t="shared" si="22"/>
        <v>0</v>
      </c>
      <c r="AK17" s="2">
        <f t="shared" si="23"/>
        <v>1</v>
      </c>
      <c r="AL17" s="2" t="str">
        <f t="shared" si="24"/>
        <v>Underestimation</v>
      </c>
      <c r="AM17" s="2">
        <f t="shared" si="25"/>
        <v>0</v>
      </c>
      <c r="AN17" s="2">
        <f t="shared" si="26"/>
        <v>1</v>
      </c>
      <c r="AO17" s="2">
        <f t="shared" si="27"/>
        <v>0</v>
      </c>
      <c r="AP17" s="2">
        <f t="shared" si="28"/>
        <v>0</v>
      </c>
      <c r="AQ17" s="2" t="str">
        <f t="shared" si="29"/>
        <v>Agreement</v>
      </c>
      <c r="AR17" s="3" t="s">
        <v>55</v>
      </c>
      <c r="AS17" s="3" t="s">
        <v>55</v>
      </c>
      <c r="AT17" s="3" t="s">
        <v>55</v>
      </c>
      <c r="AU17" s="3" t="s">
        <v>140</v>
      </c>
      <c r="AV17" s="3" t="s">
        <v>140</v>
      </c>
      <c r="AW17" s="3" t="s">
        <v>104</v>
      </c>
      <c r="AX17" s="3" t="s">
        <v>141</v>
      </c>
      <c r="AY17" s="3" t="s">
        <v>106</v>
      </c>
      <c r="AZ17" s="3" t="s">
        <v>60</v>
      </c>
      <c r="BA17" s="3" t="s">
        <v>142</v>
      </c>
    </row>
    <row r="18" spans="1:53" ht="15" customHeight="1">
      <c r="A18" s="2">
        <v>17</v>
      </c>
      <c r="B18" s="2">
        <v>223615844</v>
      </c>
      <c r="C18" s="2" t="s">
        <v>112</v>
      </c>
      <c r="D18" s="2" t="s">
        <v>143</v>
      </c>
      <c r="E18" s="2">
        <v>0</v>
      </c>
      <c r="F18" s="2">
        <v>0</v>
      </c>
      <c r="G18" s="2">
        <v>0</v>
      </c>
      <c r="H18" s="2">
        <f t="shared" si="0"/>
        <v>0</v>
      </c>
      <c r="I18" s="2">
        <f t="shared" si="1"/>
        <v>1</v>
      </c>
      <c r="J18" s="2">
        <f t="shared" si="2"/>
        <v>0</v>
      </c>
      <c r="K18" s="2">
        <f t="shared" si="3"/>
        <v>0</v>
      </c>
      <c r="L18" s="2" t="str">
        <f t="shared" si="4"/>
        <v>Agreement</v>
      </c>
      <c r="M18" s="2">
        <f t="shared" si="5"/>
        <v>0</v>
      </c>
      <c r="N18" s="2">
        <f t="shared" si="6"/>
        <v>1</v>
      </c>
      <c r="O18" s="2">
        <f t="shared" si="7"/>
        <v>0</v>
      </c>
      <c r="P18" s="2">
        <f t="shared" si="8"/>
        <v>0</v>
      </c>
      <c r="Q18" s="2" t="str">
        <f t="shared" si="9"/>
        <v>Agreement</v>
      </c>
      <c r="R18" s="2">
        <v>-1</v>
      </c>
      <c r="S18" s="2">
        <v>-1</v>
      </c>
      <c r="T18" s="2">
        <v>-1</v>
      </c>
      <c r="U18" s="2">
        <f t="shared" si="10"/>
        <v>0</v>
      </c>
      <c r="V18" s="2">
        <f t="shared" si="11"/>
        <v>1</v>
      </c>
      <c r="W18" s="2">
        <f t="shared" si="12"/>
        <v>0</v>
      </c>
      <c r="X18" s="2">
        <f t="shared" si="13"/>
        <v>0</v>
      </c>
      <c r="Y18" s="2" t="str">
        <f t="shared" si="14"/>
        <v>Agreement</v>
      </c>
      <c r="Z18" s="2">
        <f t="shared" si="15"/>
        <v>0</v>
      </c>
      <c r="AA18" s="2">
        <f t="shared" si="16"/>
        <v>1</v>
      </c>
      <c r="AB18" s="2">
        <f t="shared" si="17"/>
        <v>0</v>
      </c>
      <c r="AC18" s="2">
        <f t="shared" si="18"/>
        <v>0</v>
      </c>
      <c r="AD18" s="2" t="str">
        <f t="shared" si="19"/>
        <v>Agreement</v>
      </c>
      <c r="AE18" s="2">
        <v>0</v>
      </c>
      <c r="AF18" s="2">
        <v>1</v>
      </c>
      <c r="AG18" s="2">
        <v>1</v>
      </c>
      <c r="AH18" s="2">
        <f t="shared" si="20"/>
        <v>-1</v>
      </c>
      <c r="AI18" s="2">
        <f t="shared" si="21"/>
        <v>0</v>
      </c>
      <c r="AJ18" s="2">
        <f t="shared" si="22"/>
        <v>0</v>
      </c>
      <c r="AK18" s="2">
        <f t="shared" si="23"/>
        <v>1</v>
      </c>
      <c r="AL18" s="2" t="str">
        <f t="shared" si="24"/>
        <v>Underestimation</v>
      </c>
      <c r="AM18" s="2">
        <f t="shared" si="25"/>
        <v>0</v>
      </c>
      <c r="AN18" s="2">
        <f t="shared" si="26"/>
        <v>1</v>
      </c>
      <c r="AO18" s="2">
        <f t="shared" si="27"/>
        <v>0</v>
      </c>
      <c r="AP18" s="2">
        <f t="shared" si="28"/>
        <v>0</v>
      </c>
      <c r="AQ18" s="2" t="str">
        <f t="shared" si="29"/>
        <v>Agreement</v>
      </c>
      <c r="AR18" s="3" t="s">
        <v>55</v>
      </c>
      <c r="AS18" s="3" t="s">
        <v>55</v>
      </c>
      <c r="AT18" s="3" t="s">
        <v>55</v>
      </c>
      <c r="AU18" s="3" t="s">
        <v>144</v>
      </c>
      <c r="AV18" s="3" t="s">
        <v>144</v>
      </c>
      <c r="AW18" s="3" t="s">
        <v>145</v>
      </c>
      <c r="AX18" s="3" t="s">
        <v>146</v>
      </c>
      <c r="AY18" s="3" t="s">
        <v>117</v>
      </c>
      <c r="AZ18" s="3" t="s">
        <v>60</v>
      </c>
      <c r="BA18" s="3" t="s">
        <v>147</v>
      </c>
    </row>
    <row r="19" spans="1:53" ht="15" customHeight="1">
      <c r="A19" s="2">
        <v>18</v>
      </c>
      <c r="B19" s="2">
        <v>223656912</v>
      </c>
      <c r="C19" s="2" t="s">
        <v>148</v>
      </c>
      <c r="D19" s="2" t="s">
        <v>143</v>
      </c>
      <c r="E19" s="2">
        <v>0</v>
      </c>
      <c r="F19" s="2">
        <v>0</v>
      </c>
      <c r="G19" s="2">
        <v>0</v>
      </c>
      <c r="H19" s="2">
        <f t="shared" si="0"/>
        <v>0</v>
      </c>
      <c r="I19" s="2">
        <f t="shared" si="1"/>
        <v>1</v>
      </c>
      <c r="J19" s="2">
        <f t="shared" si="2"/>
        <v>0</v>
      </c>
      <c r="K19" s="2">
        <f t="shared" si="3"/>
        <v>0</v>
      </c>
      <c r="L19" s="2" t="str">
        <f t="shared" si="4"/>
        <v>Agreement</v>
      </c>
      <c r="M19" s="2">
        <f t="shared" si="5"/>
        <v>0</v>
      </c>
      <c r="N19" s="2">
        <f t="shared" si="6"/>
        <v>1</v>
      </c>
      <c r="O19" s="2">
        <f t="shared" si="7"/>
        <v>0</v>
      </c>
      <c r="P19" s="2">
        <f t="shared" si="8"/>
        <v>0</v>
      </c>
      <c r="Q19" s="2" t="str">
        <f t="shared" si="9"/>
        <v>Agreement</v>
      </c>
      <c r="R19" s="2">
        <v>-1</v>
      </c>
      <c r="S19" s="2">
        <v>-1</v>
      </c>
      <c r="T19" s="2">
        <v>-1</v>
      </c>
      <c r="U19" s="2">
        <f t="shared" si="10"/>
        <v>0</v>
      </c>
      <c r="V19" s="2">
        <f t="shared" si="11"/>
        <v>1</v>
      </c>
      <c r="W19" s="2">
        <f t="shared" si="12"/>
        <v>0</v>
      </c>
      <c r="X19" s="2">
        <f t="shared" si="13"/>
        <v>0</v>
      </c>
      <c r="Y19" s="2" t="str">
        <f t="shared" si="14"/>
        <v>Agreement</v>
      </c>
      <c r="Z19" s="2">
        <f t="shared" si="15"/>
        <v>0</v>
      </c>
      <c r="AA19" s="2">
        <f t="shared" si="16"/>
        <v>1</v>
      </c>
      <c r="AB19" s="2">
        <f t="shared" si="17"/>
        <v>0</v>
      </c>
      <c r="AC19" s="2">
        <f t="shared" si="18"/>
        <v>0</v>
      </c>
      <c r="AD19" s="2" t="str">
        <f t="shared" si="19"/>
        <v>Agreement</v>
      </c>
      <c r="AE19" s="2">
        <v>0</v>
      </c>
      <c r="AF19" s="2">
        <v>1</v>
      </c>
      <c r="AG19" s="2">
        <v>1</v>
      </c>
      <c r="AH19" s="2">
        <f t="shared" si="20"/>
        <v>-1</v>
      </c>
      <c r="AI19" s="2">
        <f t="shared" si="21"/>
        <v>0</v>
      </c>
      <c r="AJ19" s="2">
        <f t="shared" si="22"/>
        <v>0</v>
      </c>
      <c r="AK19" s="2">
        <f t="shared" si="23"/>
        <v>1</v>
      </c>
      <c r="AL19" s="2" t="str">
        <f t="shared" si="24"/>
        <v>Underestimation</v>
      </c>
      <c r="AM19" s="2">
        <f t="shared" si="25"/>
        <v>0</v>
      </c>
      <c r="AN19" s="2">
        <f t="shared" si="26"/>
        <v>1</v>
      </c>
      <c r="AO19" s="2">
        <f t="shared" si="27"/>
        <v>0</v>
      </c>
      <c r="AP19" s="2">
        <f t="shared" si="28"/>
        <v>0</v>
      </c>
      <c r="AQ19" s="2" t="str">
        <f t="shared" si="29"/>
        <v>Agreement</v>
      </c>
      <c r="AR19" s="3" t="s">
        <v>55</v>
      </c>
      <c r="AS19" s="3" t="s">
        <v>55</v>
      </c>
      <c r="AT19" s="3" t="s">
        <v>55</v>
      </c>
      <c r="AU19" s="3" t="s">
        <v>149</v>
      </c>
      <c r="AV19" s="3" t="s">
        <v>149</v>
      </c>
      <c r="AW19" s="3" t="s">
        <v>150</v>
      </c>
      <c r="AX19" s="3" t="s">
        <v>151</v>
      </c>
      <c r="AY19" s="3" t="s">
        <v>152</v>
      </c>
      <c r="AZ19" s="3" t="s">
        <v>60</v>
      </c>
      <c r="BA19" s="3" t="s">
        <v>153</v>
      </c>
    </row>
    <row r="20" spans="1:53" ht="15" customHeight="1">
      <c r="A20" s="2">
        <v>19</v>
      </c>
      <c r="B20" s="2">
        <v>225958262</v>
      </c>
      <c r="C20" s="2" t="s">
        <v>65</v>
      </c>
      <c r="D20" s="2" t="s">
        <v>154</v>
      </c>
      <c r="E20" s="2">
        <v>0</v>
      </c>
      <c r="F20" s="2">
        <v>0</v>
      </c>
      <c r="G20" s="2">
        <v>0</v>
      </c>
      <c r="H20" s="2">
        <f t="shared" si="0"/>
        <v>0</v>
      </c>
      <c r="I20" s="2">
        <f t="shared" si="1"/>
        <v>1</v>
      </c>
      <c r="J20" s="2">
        <f t="shared" si="2"/>
        <v>0</v>
      </c>
      <c r="K20" s="2">
        <f t="shared" si="3"/>
        <v>0</v>
      </c>
      <c r="L20" s="2" t="str">
        <f t="shared" si="4"/>
        <v>Agreement</v>
      </c>
      <c r="M20" s="2">
        <f t="shared" si="5"/>
        <v>0</v>
      </c>
      <c r="N20" s="2">
        <f t="shared" si="6"/>
        <v>1</v>
      </c>
      <c r="O20" s="2">
        <f t="shared" si="7"/>
        <v>0</v>
      </c>
      <c r="P20" s="2">
        <f t="shared" si="8"/>
        <v>0</v>
      </c>
      <c r="Q20" s="2" t="str">
        <f t="shared" si="9"/>
        <v>Agreement</v>
      </c>
      <c r="R20" s="2">
        <v>-1</v>
      </c>
      <c r="S20" s="2">
        <v>-1</v>
      </c>
      <c r="T20" s="2">
        <v>-1</v>
      </c>
      <c r="U20" s="2">
        <f t="shared" si="10"/>
        <v>0</v>
      </c>
      <c r="V20" s="2">
        <f t="shared" si="11"/>
        <v>1</v>
      </c>
      <c r="W20" s="2">
        <f t="shared" si="12"/>
        <v>0</v>
      </c>
      <c r="X20" s="2">
        <f t="shared" si="13"/>
        <v>0</v>
      </c>
      <c r="Y20" s="2" t="str">
        <f t="shared" si="14"/>
        <v>Agreement</v>
      </c>
      <c r="Z20" s="2">
        <f t="shared" si="15"/>
        <v>0</v>
      </c>
      <c r="AA20" s="2">
        <f t="shared" si="16"/>
        <v>1</v>
      </c>
      <c r="AB20" s="2">
        <f t="shared" si="17"/>
        <v>0</v>
      </c>
      <c r="AC20" s="2">
        <f t="shared" si="18"/>
        <v>0</v>
      </c>
      <c r="AD20" s="2" t="str">
        <f t="shared" si="19"/>
        <v>Agreement</v>
      </c>
      <c r="AE20" s="2">
        <v>0</v>
      </c>
      <c r="AF20" s="2">
        <v>1</v>
      </c>
      <c r="AG20" s="2">
        <v>1</v>
      </c>
      <c r="AH20" s="2">
        <f t="shared" si="20"/>
        <v>-1</v>
      </c>
      <c r="AI20" s="2">
        <f t="shared" si="21"/>
        <v>0</v>
      </c>
      <c r="AJ20" s="2">
        <f t="shared" si="22"/>
        <v>0</v>
      </c>
      <c r="AK20" s="2">
        <f t="shared" si="23"/>
        <v>1</v>
      </c>
      <c r="AL20" s="2" t="str">
        <f t="shared" si="24"/>
        <v>Underestimation</v>
      </c>
      <c r="AM20" s="2">
        <f t="shared" si="25"/>
        <v>0</v>
      </c>
      <c r="AN20" s="2">
        <f t="shared" si="26"/>
        <v>1</v>
      </c>
      <c r="AO20" s="2">
        <f t="shared" si="27"/>
        <v>0</v>
      </c>
      <c r="AP20" s="2">
        <f t="shared" si="28"/>
        <v>0</v>
      </c>
      <c r="AQ20" s="2" t="str">
        <f t="shared" si="29"/>
        <v>Agreement</v>
      </c>
      <c r="AR20" s="3" t="s">
        <v>55</v>
      </c>
      <c r="AS20" s="3" t="s">
        <v>55</v>
      </c>
      <c r="AT20" s="3" t="s">
        <v>55</v>
      </c>
      <c r="AU20" s="3" t="s">
        <v>155</v>
      </c>
      <c r="AV20" s="3" t="s">
        <v>155</v>
      </c>
      <c r="AW20" s="3" t="s">
        <v>156</v>
      </c>
      <c r="AX20" s="3" t="s">
        <v>157</v>
      </c>
      <c r="AY20" s="3" t="s">
        <v>70</v>
      </c>
      <c r="AZ20" s="3" t="s">
        <v>60</v>
      </c>
      <c r="BA20" s="3" t="s">
        <v>158</v>
      </c>
    </row>
    <row r="21" spans="1:53" ht="15" customHeight="1">
      <c r="A21" s="2">
        <v>20</v>
      </c>
      <c r="B21" s="2">
        <v>226140432</v>
      </c>
      <c r="C21" s="2" t="s">
        <v>95</v>
      </c>
      <c r="D21" s="2" t="s">
        <v>159</v>
      </c>
      <c r="E21" s="2">
        <v>0</v>
      </c>
      <c r="F21" s="2">
        <v>0</v>
      </c>
      <c r="G21" s="2">
        <v>0</v>
      </c>
      <c r="H21" s="2">
        <f t="shared" si="0"/>
        <v>0</v>
      </c>
      <c r="I21" s="2">
        <f t="shared" si="1"/>
        <v>1</v>
      </c>
      <c r="J21" s="2">
        <f t="shared" si="2"/>
        <v>0</v>
      </c>
      <c r="K21" s="2">
        <f t="shared" si="3"/>
        <v>0</v>
      </c>
      <c r="L21" s="2" t="str">
        <f t="shared" si="4"/>
        <v>Agreement</v>
      </c>
      <c r="M21" s="2">
        <f t="shared" si="5"/>
        <v>0</v>
      </c>
      <c r="N21" s="2">
        <f t="shared" si="6"/>
        <v>1</v>
      </c>
      <c r="O21" s="2">
        <f t="shared" si="7"/>
        <v>0</v>
      </c>
      <c r="P21" s="2">
        <f t="shared" si="8"/>
        <v>0</v>
      </c>
      <c r="Q21" s="2" t="str">
        <f t="shared" si="9"/>
        <v>Agreement</v>
      </c>
      <c r="R21" s="2">
        <v>-1</v>
      </c>
      <c r="S21" s="2">
        <v>2</v>
      </c>
      <c r="T21" s="2">
        <v>2</v>
      </c>
      <c r="U21" s="2">
        <f t="shared" si="10"/>
        <v>-3</v>
      </c>
      <c r="V21" s="2">
        <f t="shared" si="11"/>
        <v>0</v>
      </c>
      <c r="W21" s="2">
        <f t="shared" si="12"/>
        <v>0</v>
      </c>
      <c r="X21" s="2">
        <f t="shared" si="13"/>
        <v>1</v>
      </c>
      <c r="Y21" s="2" t="str">
        <f t="shared" si="14"/>
        <v>Underestimation</v>
      </c>
      <c r="Z21" s="2">
        <f t="shared" si="15"/>
        <v>0</v>
      </c>
      <c r="AA21" s="2">
        <f t="shared" si="16"/>
        <v>1</v>
      </c>
      <c r="AB21" s="2">
        <f t="shared" si="17"/>
        <v>0</v>
      </c>
      <c r="AC21" s="2">
        <f t="shared" si="18"/>
        <v>0</v>
      </c>
      <c r="AD21" s="2" t="str">
        <f t="shared" si="19"/>
        <v>Agreement</v>
      </c>
      <c r="AE21" s="2">
        <v>0</v>
      </c>
      <c r="AF21" s="2">
        <v>1</v>
      </c>
      <c r="AG21" s="2">
        <v>1</v>
      </c>
      <c r="AH21" s="2">
        <f t="shared" si="20"/>
        <v>-1</v>
      </c>
      <c r="AI21" s="2">
        <f t="shared" si="21"/>
        <v>0</v>
      </c>
      <c r="AJ21" s="2">
        <f t="shared" si="22"/>
        <v>0</v>
      </c>
      <c r="AK21" s="2">
        <f t="shared" si="23"/>
        <v>1</v>
      </c>
      <c r="AL21" s="2" t="str">
        <f t="shared" si="24"/>
        <v>Underestimation</v>
      </c>
      <c r="AM21" s="2">
        <f t="shared" si="25"/>
        <v>0</v>
      </c>
      <c r="AN21" s="2">
        <f t="shared" si="26"/>
        <v>1</v>
      </c>
      <c r="AO21" s="2">
        <f t="shared" si="27"/>
        <v>0</v>
      </c>
      <c r="AP21" s="2">
        <f t="shared" si="28"/>
        <v>0</v>
      </c>
      <c r="AQ21" s="2" t="str">
        <f t="shared" si="29"/>
        <v>Agreement</v>
      </c>
      <c r="AR21" s="3" t="s">
        <v>55</v>
      </c>
      <c r="AS21" s="3" t="s">
        <v>55</v>
      </c>
      <c r="AT21" s="3" t="s">
        <v>55</v>
      </c>
      <c r="AU21" s="3"/>
      <c r="AV21" s="3" t="s">
        <v>160</v>
      </c>
      <c r="AW21" s="3" t="s">
        <v>57</v>
      </c>
      <c r="AX21" s="3" t="s">
        <v>161</v>
      </c>
      <c r="AY21" s="3" t="s">
        <v>162</v>
      </c>
      <c r="AZ21" s="3" t="s">
        <v>60</v>
      </c>
      <c r="BA21" s="3" t="s">
        <v>163</v>
      </c>
    </row>
    <row r="22" spans="1:53" ht="15" customHeight="1">
      <c r="A22" s="2">
        <v>21</v>
      </c>
      <c r="B22" s="2">
        <v>226171673</v>
      </c>
      <c r="C22" s="2" t="s">
        <v>95</v>
      </c>
      <c r="D22" s="2" t="s">
        <v>159</v>
      </c>
      <c r="E22" s="2">
        <v>0</v>
      </c>
      <c r="F22" s="2">
        <v>0</v>
      </c>
      <c r="G22" s="2">
        <v>0</v>
      </c>
      <c r="H22" s="2">
        <f t="shared" si="0"/>
        <v>0</v>
      </c>
      <c r="I22" s="2">
        <f t="shared" si="1"/>
        <v>1</v>
      </c>
      <c r="J22" s="2">
        <f t="shared" si="2"/>
        <v>0</v>
      </c>
      <c r="K22" s="2">
        <f t="shared" si="3"/>
        <v>0</v>
      </c>
      <c r="L22" s="2" t="str">
        <f t="shared" si="4"/>
        <v>Agreement</v>
      </c>
      <c r="M22" s="2">
        <f t="shared" si="5"/>
        <v>0</v>
      </c>
      <c r="N22" s="2">
        <f t="shared" si="6"/>
        <v>1</v>
      </c>
      <c r="O22" s="2">
        <f t="shared" si="7"/>
        <v>0</v>
      </c>
      <c r="P22" s="2">
        <f t="shared" si="8"/>
        <v>0</v>
      </c>
      <c r="Q22" s="2" t="str">
        <f t="shared" si="9"/>
        <v>Agreement</v>
      </c>
      <c r="R22" s="2">
        <v>-1</v>
      </c>
      <c r="S22" s="2">
        <v>2</v>
      </c>
      <c r="T22" s="2">
        <v>2</v>
      </c>
      <c r="U22" s="2">
        <f t="shared" si="10"/>
        <v>-3</v>
      </c>
      <c r="V22" s="2">
        <f t="shared" si="11"/>
        <v>0</v>
      </c>
      <c r="W22" s="2">
        <f t="shared" si="12"/>
        <v>0</v>
      </c>
      <c r="X22" s="2">
        <f t="shared" si="13"/>
        <v>1</v>
      </c>
      <c r="Y22" s="2" t="str">
        <f t="shared" si="14"/>
        <v>Underestimation</v>
      </c>
      <c r="Z22" s="2">
        <f t="shared" si="15"/>
        <v>0</v>
      </c>
      <c r="AA22" s="2">
        <f t="shared" si="16"/>
        <v>1</v>
      </c>
      <c r="AB22" s="2">
        <f t="shared" si="17"/>
        <v>0</v>
      </c>
      <c r="AC22" s="2">
        <f t="shared" si="18"/>
        <v>0</v>
      </c>
      <c r="AD22" s="2" t="str">
        <f t="shared" si="19"/>
        <v>Agreement</v>
      </c>
      <c r="AE22" s="2">
        <v>0</v>
      </c>
      <c r="AF22" s="2">
        <v>1</v>
      </c>
      <c r="AG22" s="2">
        <v>1</v>
      </c>
      <c r="AH22" s="2">
        <f t="shared" si="20"/>
        <v>-1</v>
      </c>
      <c r="AI22" s="2">
        <f t="shared" si="21"/>
        <v>0</v>
      </c>
      <c r="AJ22" s="2">
        <f t="shared" si="22"/>
        <v>0</v>
      </c>
      <c r="AK22" s="2">
        <f t="shared" si="23"/>
        <v>1</v>
      </c>
      <c r="AL22" s="2" t="str">
        <f t="shared" si="24"/>
        <v>Underestimation</v>
      </c>
      <c r="AM22" s="2">
        <f t="shared" si="25"/>
        <v>0</v>
      </c>
      <c r="AN22" s="2">
        <f t="shared" si="26"/>
        <v>1</v>
      </c>
      <c r="AO22" s="2">
        <f t="shared" si="27"/>
        <v>0</v>
      </c>
      <c r="AP22" s="2">
        <f t="shared" si="28"/>
        <v>0</v>
      </c>
      <c r="AQ22" s="2" t="str">
        <f t="shared" si="29"/>
        <v>Agreement</v>
      </c>
      <c r="AR22" s="3" t="s">
        <v>55</v>
      </c>
      <c r="AS22" s="3" t="s">
        <v>55</v>
      </c>
      <c r="AT22" s="3" t="s">
        <v>55</v>
      </c>
      <c r="AU22" s="3"/>
      <c r="AV22" s="3" t="s">
        <v>164</v>
      </c>
      <c r="AW22" s="3" t="s">
        <v>57</v>
      </c>
      <c r="AX22" s="3" t="s">
        <v>165</v>
      </c>
      <c r="AY22" s="3" t="s">
        <v>162</v>
      </c>
      <c r="AZ22" s="3" t="s">
        <v>60</v>
      </c>
      <c r="BA22" s="3" t="s">
        <v>166</v>
      </c>
    </row>
    <row r="23" spans="1:53" ht="15" customHeight="1">
      <c r="A23" s="2">
        <v>22</v>
      </c>
      <c r="B23" s="2">
        <v>226551694</v>
      </c>
      <c r="C23" s="2" t="s">
        <v>65</v>
      </c>
      <c r="D23" s="2" t="s">
        <v>167</v>
      </c>
      <c r="E23" s="2">
        <v>0</v>
      </c>
      <c r="F23" s="2">
        <v>0</v>
      </c>
      <c r="G23" s="2">
        <v>0</v>
      </c>
      <c r="H23" s="2">
        <f t="shared" si="0"/>
        <v>0</v>
      </c>
      <c r="I23" s="2">
        <f t="shared" si="1"/>
        <v>1</v>
      </c>
      <c r="J23" s="2">
        <f t="shared" si="2"/>
        <v>0</v>
      </c>
      <c r="K23" s="2">
        <f t="shared" si="3"/>
        <v>0</v>
      </c>
      <c r="L23" s="2" t="str">
        <f t="shared" si="4"/>
        <v>Agreement</v>
      </c>
      <c r="M23" s="2">
        <f t="shared" si="5"/>
        <v>0</v>
      </c>
      <c r="N23" s="2">
        <f t="shared" si="6"/>
        <v>1</v>
      </c>
      <c r="O23" s="2">
        <f t="shared" si="7"/>
        <v>0</v>
      </c>
      <c r="P23" s="2">
        <f t="shared" si="8"/>
        <v>0</v>
      </c>
      <c r="Q23" s="2" t="str">
        <f t="shared" si="9"/>
        <v>Agreement</v>
      </c>
      <c r="R23" s="2">
        <v>-1</v>
      </c>
      <c r="S23" s="2">
        <v>-1</v>
      </c>
      <c r="T23" s="2">
        <v>-1</v>
      </c>
      <c r="U23" s="2">
        <f t="shared" si="10"/>
        <v>0</v>
      </c>
      <c r="V23" s="2">
        <f t="shared" si="11"/>
        <v>1</v>
      </c>
      <c r="W23" s="2">
        <f t="shared" si="12"/>
        <v>0</v>
      </c>
      <c r="X23" s="2">
        <f t="shared" si="13"/>
        <v>0</v>
      </c>
      <c r="Y23" s="2" t="str">
        <f t="shared" si="14"/>
        <v>Agreement</v>
      </c>
      <c r="Z23" s="2">
        <f t="shared" si="15"/>
        <v>0</v>
      </c>
      <c r="AA23" s="2">
        <f t="shared" si="16"/>
        <v>1</v>
      </c>
      <c r="AB23" s="2">
        <f t="shared" si="17"/>
        <v>0</v>
      </c>
      <c r="AC23" s="2">
        <f t="shared" si="18"/>
        <v>0</v>
      </c>
      <c r="AD23" s="2" t="str">
        <f t="shared" si="19"/>
        <v>Agreement</v>
      </c>
      <c r="AE23" s="2">
        <v>0</v>
      </c>
      <c r="AF23" s="2">
        <v>1</v>
      </c>
      <c r="AG23" s="2">
        <v>1</v>
      </c>
      <c r="AH23" s="2">
        <f t="shared" si="20"/>
        <v>-1</v>
      </c>
      <c r="AI23" s="2">
        <f t="shared" si="21"/>
        <v>0</v>
      </c>
      <c r="AJ23" s="2">
        <f t="shared" si="22"/>
        <v>0</v>
      </c>
      <c r="AK23" s="2">
        <f t="shared" si="23"/>
        <v>1</v>
      </c>
      <c r="AL23" s="2" t="str">
        <f t="shared" si="24"/>
        <v>Underestimation</v>
      </c>
      <c r="AM23" s="2">
        <f t="shared" si="25"/>
        <v>0</v>
      </c>
      <c r="AN23" s="2">
        <f t="shared" si="26"/>
        <v>1</v>
      </c>
      <c r="AO23" s="2">
        <f t="shared" si="27"/>
        <v>0</v>
      </c>
      <c r="AP23" s="2">
        <f t="shared" si="28"/>
        <v>0</v>
      </c>
      <c r="AQ23" s="2" t="str">
        <f t="shared" si="29"/>
        <v>Agreement</v>
      </c>
      <c r="AR23" s="3" t="s">
        <v>55</v>
      </c>
      <c r="AS23" s="3" t="s">
        <v>55</v>
      </c>
      <c r="AT23" s="3" t="s">
        <v>55</v>
      </c>
      <c r="AU23" s="3" t="s">
        <v>168</v>
      </c>
      <c r="AV23" s="3" t="s">
        <v>168</v>
      </c>
      <c r="AW23" s="3" t="s">
        <v>169</v>
      </c>
      <c r="AX23" s="3" t="s">
        <v>93</v>
      </c>
      <c r="AY23" s="3" t="s">
        <v>70</v>
      </c>
      <c r="AZ23" s="3" t="s">
        <v>60</v>
      </c>
      <c r="BA23" s="3" t="s">
        <v>170</v>
      </c>
    </row>
    <row r="24" spans="1:53" ht="15" customHeight="1">
      <c r="A24" s="2">
        <v>23</v>
      </c>
      <c r="B24" s="2">
        <v>229933175</v>
      </c>
      <c r="C24" s="2" t="s">
        <v>95</v>
      </c>
      <c r="D24" s="2" t="s">
        <v>171</v>
      </c>
      <c r="E24" s="2">
        <v>0</v>
      </c>
      <c r="F24" s="2">
        <v>0</v>
      </c>
      <c r="G24" s="2">
        <v>0</v>
      </c>
      <c r="H24" s="2">
        <f t="shared" si="0"/>
        <v>0</v>
      </c>
      <c r="I24" s="2">
        <f t="shared" si="1"/>
        <v>1</v>
      </c>
      <c r="J24" s="2">
        <f t="shared" si="2"/>
        <v>0</v>
      </c>
      <c r="K24" s="2">
        <f t="shared" si="3"/>
        <v>0</v>
      </c>
      <c r="L24" s="2" t="str">
        <f t="shared" si="4"/>
        <v>Agreement</v>
      </c>
      <c r="M24" s="2">
        <f t="shared" si="5"/>
        <v>0</v>
      </c>
      <c r="N24" s="2">
        <f t="shared" si="6"/>
        <v>1</v>
      </c>
      <c r="O24" s="2">
        <f t="shared" si="7"/>
        <v>0</v>
      </c>
      <c r="P24" s="2">
        <f t="shared" si="8"/>
        <v>0</v>
      </c>
      <c r="Q24" s="2" t="str">
        <f t="shared" si="9"/>
        <v>Agreement</v>
      </c>
      <c r="R24" s="2">
        <v>-1</v>
      </c>
      <c r="S24" s="2">
        <v>-1</v>
      </c>
      <c r="T24" s="2">
        <v>2</v>
      </c>
      <c r="U24" s="2">
        <f t="shared" si="10"/>
        <v>-3</v>
      </c>
      <c r="V24" s="2">
        <f t="shared" si="11"/>
        <v>0</v>
      </c>
      <c r="W24" s="2">
        <f t="shared" si="12"/>
        <v>0</v>
      </c>
      <c r="X24" s="2">
        <f t="shared" si="13"/>
        <v>1</v>
      </c>
      <c r="Y24" s="2" t="str">
        <f t="shared" si="14"/>
        <v>Underestimation</v>
      </c>
      <c r="Z24" s="2">
        <f t="shared" si="15"/>
        <v>-3</v>
      </c>
      <c r="AA24" s="2">
        <f t="shared" si="16"/>
        <v>0</v>
      </c>
      <c r="AB24" s="2">
        <f t="shared" si="17"/>
        <v>0</v>
      </c>
      <c r="AC24" s="2">
        <f t="shared" si="18"/>
        <v>1</v>
      </c>
      <c r="AD24" s="2" t="str">
        <f t="shared" si="19"/>
        <v>Underestimation</v>
      </c>
      <c r="AE24" s="2">
        <v>0</v>
      </c>
      <c r="AF24" s="2">
        <v>1</v>
      </c>
      <c r="AG24" s="2">
        <v>1</v>
      </c>
      <c r="AH24" s="2">
        <f t="shared" si="20"/>
        <v>-1</v>
      </c>
      <c r="AI24" s="2">
        <f t="shared" si="21"/>
        <v>0</v>
      </c>
      <c r="AJ24" s="2">
        <f t="shared" si="22"/>
        <v>0</v>
      </c>
      <c r="AK24" s="2">
        <f t="shared" si="23"/>
        <v>1</v>
      </c>
      <c r="AL24" s="2" t="str">
        <f t="shared" si="24"/>
        <v>Underestimation</v>
      </c>
      <c r="AM24" s="2">
        <f t="shared" si="25"/>
        <v>0</v>
      </c>
      <c r="AN24" s="2">
        <f t="shared" si="26"/>
        <v>1</v>
      </c>
      <c r="AO24" s="2">
        <f t="shared" si="27"/>
        <v>0</v>
      </c>
      <c r="AP24" s="2">
        <f t="shared" si="28"/>
        <v>0</v>
      </c>
      <c r="AQ24" s="2" t="str">
        <f t="shared" si="29"/>
        <v>Agreement</v>
      </c>
      <c r="AR24" s="3" t="s">
        <v>55</v>
      </c>
      <c r="AS24" s="3" t="s">
        <v>55</v>
      </c>
      <c r="AT24" s="3" t="s">
        <v>55</v>
      </c>
      <c r="AU24" s="3" t="s">
        <v>172</v>
      </c>
      <c r="AV24" s="3" t="s">
        <v>172</v>
      </c>
      <c r="AW24" s="3" t="s">
        <v>57</v>
      </c>
      <c r="AX24" s="3" t="s">
        <v>173</v>
      </c>
      <c r="AY24" s="3" t="s">
        <v>162</v>
      </c>
      <c r="AZ24" s="3" t="s">
        <v>60</v>
      </c>
      <c r="BA24" s="3" t="s">
        <v>174</v>
      </c>
    </row>
    <row r="25" spans="1:53" ht="15" customHeight="1">
      <c r="A25" s="2">
        <v>24</v>
      </c>
      <c r="B25" s="2">
        <v>231638587</v>
      </c>
      <c r="C25" s="2" t="s">
        <v>175</v>
      </c>
      <c r="D25" s="2" t="s">
        <v>176</v>
      </c>
      <c r="E25" s="2">
        <v>0</v>
      </c>
      <c r="F25" s="2">
        <v>0</v>
      </c>
      <c r="G25" s="2">
        <v>0</v>
      </c>
      <c r="H25" s="2">
        <f t="shared" si="0"/>
        <v>0</v>
      </c>
      <c r="I25" s="2">
        <f t="shared" si="1"/>
        <v>1</v>
      </c>
      <c r="J25" s="2">
        <f t="shared" si="2"/>
        <v>0</v>
      </c>
      <c r="K25" s="2">
        <f t="shared" si="3"/>
        <v>0</v>
      </c>
      <c r="L25" s="2" t="str">
        <f t="shared" si="4"/>
        <v>Agreement</v>
      </c>
      <c r="M25" s="2">
        <f t="shared" si="5"/>
        <v>0</v>
      </c>
      <c r="N25" s="2">
        <f t="shared" si="6"/>
        <v>1</v>
      </c>
      <c r="O25" s="2">
        <f t="shared" si="7"/>
        <v>0</v>
      </c>
      <c r="P25" s="2">
        <f t="shared" si="8"/>
        <v>0</v>
      </c>
      <c r="Q25" s="2" t="str">
        <f t="shared" si="9"/>
        <v>Agreement</v>
      </c>
      <c r="R25" s="2">
        <v>-1</v>
      </c>
      <c r="S25" s="2">
        <v>-1</v>
      </c>
      <c r="T25" s="2">
        <v>2</v>
      </c>
      <c r="U25" s="2">
        <f t="shared" si="10"/>
        <v>-3</v>
      </c>
      <c r="V25" s="2">
        <f t="shared" si="11"/>
        <v>0</v>
      </c>
      <c r="W25" s="2">
        <f t="shared" si="12"/>
        <v>0</v>
      </c>
      <c r="X25" s="2">
        <f t="shared" si="13"/>
        <v>1</v>
      </c>
      <c r="Y25" s="2" t="str">
        <f t="shared" si="14"/>
        <v>Underestimation</v>
      </c>
      <c r="Z25" s="2">
        <f t="shared" si="15"/>
        <v>-3</v>
      </c>
      <c r="AA25" s="2">
        <f t="shared" si="16"/>
        <v>0</v>
      </c>
      <c r="AB25" s="2">
        <f t="shared" si="17"/>
        <v>0</v>
      </c>
      <c r="AC25" s="2">
        <f t="shared" si="18"/>
        <v>1</v>
      </c>
      <c r="AD25" s="2" t="str">
        <f t="shared" si="19"/>
        <v>Underestimation</v>
      </c>
      <c r="AE25" s="2">
        <v>0</v>
      </c>
      <c r="AF25" s="2">
        <v>1</v>
      </c>
      <c r="AG25" s="2">
        <v>1</v>
      </c>
      <c r="AH25" s="2">
        <f t="shared" si="20"/>
        <v>-1</v>
      </c>
      <c r="AI25" s="2">
        <f t="shared" si="21"/>
        <v>0</v>
      </c>
      <c r="AJ25" s="2">
        <f t="shared" si="22"/>
        <v>0</v>
      </c>
      <c r="AK25" s="2">
        <f t="shared" si="23"/>
        <v>1</v>
      </c>
      <c r="AL25" s="2" t="str">
        <f t="shared" si="24"/>
        <v>Underestimation</v>
      </c>
      <c r="AM25" s="2">
        <f t="shared" si="25"/>
        <v>0</v>
      </c>
      <c r="AN25" s="2">
        <f t="shared" si="26"/>
        <v>1</v>
      </c>
      <c r="AO25" s="2">
        <f t="shared" si="27"/>
        <v>0</v>
      </c>
      <c r="AP25" s="2">
        <f t="shared" si="28"/>
        <v>0</v>
      </c>
      <c r="AQ25" s="2" t="str">
        <f t="shared" si="29"/>
        <v>Agreement</v>
      </c>
      <c r="AR25" s="3" t="s">
        <v>55</v>
      </c>
      <c r="AS25" s="3" t="s">
        <v>55</v>
      </c>
      <c r="AT25" s="3" t="s">
        <v>55</v>
      </c>
      <c r="AU25" s="3" t="s">
        <v>177</v>
      </c>
      <c r="AV25" s="3" t="s">
        <v>177</v>
      </c>
      <c r="AW25" s="3" t="s">
        <v>57</v>
      </c>
      <c r="AX25" s="3" t="s">
        <v>178</v>
      </c>
      <c r="AY25" s="3" t="s">
        <v>179</v>
      </c>
      <c r="AZ25" s="3" t="s">
        <v>60</v>
      </c>
      <c r="BA25" s="3" t="s">
        <v>180</v>
      </c>
    </row>
    <row r="26" spans="1:53" ht="15" customHeight="1">
      <c r="A26" s="2">
        <v>25</v>
      </c>
      <c r="B26" s="2">
        <v>231876503</v>
      </c>
      <c r="C26" s="2" t="s">
        <v>72</v>
      </c>
      <c r="D26" s="2" t="s">
        <v>181</v>
      </c>
      <c r="E26" s="2">
        <v>0</v>
      </c>
      <c r="F26" s="2">
        <v>0</v>
      </c>
      <c r="G26" s="2">
        <v>0</v>
      </c>
      <c r="H26" s="2">
        <f t="shared" si="0"/>
        <v>0</v>
      </c>
      <c r="I26" s="2">
        <f t="shared" si="1"/>
        <v>1</v>
      </c>
      <c r="J26" s="2">
        <f t="shared" si="2"/>
        <v>0</v>
      </c>
      <c r="K26" s="2">
        <f t="shared" si="3"/>
        <v>0</v>
      </c>
      <c r="L26" s="2" t="str">
        <f t="shared" si="4"/>
        <v>Agreement</v>
      </c>
      <c r="M26" s="2">
        <f t="shared" si="5"/>
        <v>0</v>
      </c>
      <c r="N26" s="2">
        <f t="shared" si="6"/>
        <v>1</v>
      </c>
      <c r="O26" s="2">
        <f t="shared" si="7"/>
        <v>0</v>
      </c>
      <c r="P26" s="2">
        <f t="shared" si="8"/>
        <v>0</v>
      </c>
      <c r="Q26" s="2" t="str">
        <f t="shared" si="9"/>
        <v>Agreement</v>
      </c>
      <c r="R26" s="2">
        <v>-1</v>
      </c>
      <c r="S26" s="2">
        <v>-1</v>
      </c>
      <c r="T26" s="2">
        <v>-1</v>
      </c>
      <c r="U26" s="2">
        <f t="shared" si="10"/>
        <v>0</v>
      </c>
      <c r="V26" s="2">
        <f t="shared" si="11"/>
        <v>1</v>
      </c>
      <c r="W26" s="2">
        <f t="shared" si="12"/>
        <v>0</v>
      </c>
      <c r="X26" s="2">
        <f t="shared" si="13"/>
        <v>0</v>
      </c>
      <c r="Y26" s="2" t="str">
        <f t="shared" si="14"/>
        <v>Agreement</v>
      </c>
      <c r="Z26" s="2">
        <f t="shared" si="15"/>
        <v>0</v>
      </c>
      <c r="AA26" s="2">
        <f t="shared" si="16"/>
        <v>1</v>
      </c>
      <c r="AB26" s="2">
        <f t="shared" si="17"/>
        <v>0</v>
      </c>
      <c r="AC26" s="2">
        <f t="shared" si="18"/>
        <v>0</v>
      </c>
      <c r="AD26" s="2" t="str">
        <f t="shared" si="19"/>
        <v>Agreement</v>
      </c>
      <c r="AE26" s="2">
        <v>0</v>
      </c>
      <c r="AF26" s="2">
        <v>1</v>
      </c>
      <c r="AG26" s="2">
        <v>1</v>
      </c>
      <c r="AH26" s="2">
        <f t="shared" si="20"/>
        <v>-1</v>
      </c>
      <c r="AI26" s="2">
        <f t="shared" si="21"/>
        <v>0</v>
      </c>
      <c r="AJ26" s="2">
        <f t="shared" si="22"/>
        <v>0</v>
      </c>
      <c r="AK26" s="2">
        <f t="shared" si="23"/>
        <v>1</v>
      </c>
      <c r="AL26" s="2" t="str">
        <f t="shared" si="24"/>
        <v>Underestimation</v>
      </c>
      <c r="AM26" s="2">
        <f t="shared" si="25"/>
        <v>0</v>
      </c>
      <c r="AN26" s="2">
        <f t="shared" si="26"/>
        <v>1</v>
      </c>
      <c r="AO26" s="2">
        <f t="shared" si="27"/>
        <v>0</v>
      </c>
      <c r="AP26" s="2">
        <f t="shared" si="28"/>
        <v>0</v>
      </c>
      <c r="AQ26" s="2" t="str">
        <f t="shared" si="29"/>
        <v>Agreement</v>
      </c>
      <c r="AR26" s="3" t="s">
        <v>55</v>
      </c>
      <c r="AS26" s="3" t="s">
        <v>55</v>
      </c>
      <c r="AT26" s="3" t="s">
        <v>55</v>
      </c>
      <c r="AU26" s="3" t="s">
        <v>182</v>
      </c>
      <c r="AV26" s="3" t="s">
        <v>182</v>
      </c>
      <c r="AW26" s="3" t="s">
        <v>183</v>
      </c>
      <c r="AX26" s="3" t="s">
        <v>128</v>
      </c>
      <c r="AY26" s="3" t="s">
        <v>77</v>
      </c>
      <c r="AZ26" s="3" t="s">
        <v>60</v>
      </c>
      <c r="BA26" s="3" t="s">
        <v>184</v>
      </c>
    </row>
    <row r="27" spans="1:53" ht="15" customHeight="1">
      <c r="A27" s="2">
        <v>26</v>
      </c>
      <c r="B27" s="2">
        <v>232944706</v>
      </c>
      <c r="C27" s="2" t="s">
        <v>65</v>
      </c>
      <c r="D27" s="2" t="s">
        <v>185</v>
      </c>
      <c r="E27" s="2">
        <v>0</v>
      </c>
      <c r="F27" s="2">
        <v>0</v>
      </c>
      <c r="G27" s="2">
        <v>0</v>
      </c>
      <c r="H27" s="2">
        <f t="shared" si="0"/>
        <v>0</v>
      </c>
      <c r="I27" s="2">
        <f t="shared" si="1"/>
        <v>1</v>
      </c>
      <c r="J27" s="2">
        <f t="shared" si="2"/>
        <v>0</v>
      </c>
      <c r="K27" s="2">
        <f t="shared" si="3"/>
        <v>0</v>
      </c>
      <c r="L27" s="2" t="str">
        <f t="shared" si="4"/>
        <v>Agreement</v>
      </c>
      <c r="M27" s="2">
        <f t="shared" si="5"/>
        <v>0</v>
      </c>
      <c r="N27" s="2">
        <f t="shared" si="6"/>
        <v>1</v>
      </c>
      <c r="O27" s="2">
        <f t="shared" si="7"/>
        <v>0</v>
      </c>
      <c r="P27" s="2">
        <f t="shared" si="8"/>
        <v>0</v>
      </c>
      <c r="Q27" s="2" t="str">
        <f t="shared" si="9"/>
        <v>Agreement</v>
      </c>
      <c r="R27" s="2">
        <v>-1</v>
      </c>
      <c r="S27" s="2">
        <v>-1</v>
      </c>
      <c r="T27" s="2">
        <v>-1</v>
      </c>
      <c r="U27" s="2">
        <f t="shared" si="10"/>
        <v>0</v>
      </c>
      <c r="V27" s="2">
        <f t="shared" si="11"/>
        <v>1</v>
      </c>
      <c r="W27" s="2">
        <f t="shared" si="12"/>
        <v>0</v>
      </c>
      <c r="X27" s="2">
        <f t="shared" si="13"/>
        <v>0</v>
      </c>
      <c r="Y27" s="2" t="str">
        <f t="shared" si="14"/>
        <v>Agreement</v>
      </c>
      <c r="Z27" s="2">
        <f t="shared" si="15"/>
        <v>0</v>
      </c>
      <c r="AA27" s="2">
        <f t="shared" si="16"/>
        <v>1</v>
      </c>
      <c r="AB27" s="2">
        <f t="shared" si="17"/>
        <v>0</v>
      </c>
      <c r="AC27" s="2">
        <f t="shared" si="18"/>
        <v>0</v>
      </c>
      <c r="AD27" s="2" t="str">
        <f t="shared" si="19"/>
        <v>Agreement</v>
      </c>
      <c r="AE27" s="2">
        <v>0</v>
      </c>
      <c r="AF27" s="2">
        <v>1</v>
      </c>
      <c r="AG27" s="2">
        <v>1</v>
      </c>
      <c r="AH27" s="2">
        <f t="shared" si="20"/>
        <v>-1</v>
      </c>
      <c r="AI27" s="2">
        <f t="shared" si="21"/>
        <v>0</v>
      </c>
      <c r="AJ27" s="2">
        <f t="shared" si="22"/>
        <v>0</v>
      </c>
      <c r="AK27" s="2">
        <f t="shared" si="23"/>
        <v>1</v>
      </c>
      <c r="AL27" s="2" t="str">
        <f t="shared" si="24"/>
        <v>Underestimation</v>
      </c>
      <c r="AM27" s="2">
        <f t="shared" si="25"/>
        <v>0</v>
      </c>
      <c r="AN27" s="2">
        <f t="shared" si="26"/>
        <v>1</v>
      </c>
      <c r="AO27" s="2">
        <f t="shared" si="27"/>
        <v>0</v>
      </c>
      <c r="AP27" s="2">
        <f t="shared" si="28"/>
        <v>0</v>
      </c>
      <c r="AQ27" s="2" t="str">
        <f t="shared" si="29"/>
        <v>Agreement</v>
      </c>
      <c r="AR27" s="3" t="s">
        <v>186</v>
      </c>
      <c r="AS27" s="3" t="s">
        <v>186</v>
      </c>
      <c r="AT27" s="3" t="s">
        <v>187</v>
      </c>
      <c r="AU27" s="3" t="s">
        <v>188</v>
      </c>
      <c r="AV27" s="3" t="s">
        <v>188</v>
      </c>
      <c r="AW27" s="3" t="s">
        <v>189</v>
      </c>
      <c r="AX27" s="3" t="s">
        <v>190</v>
      </c>
      <c r="AY27" s="3" t="s">
        <v>70</v>
      </c>
      <c r="AZ27" s="3" t="s">
        <v>60</v>
      </c>
      <c r="BA27" s="3" t="s">
        <v>191</v>
      </c>
    </row>
    <row r="28" spans="1:53" ht="15" customHeight="1">
      <c r="A28" s="2">
        <v>27</v>
      </c>
      <c r="B28" s="2">
        <v>1528861314</v>
      </c>
      <c r="C28" s="2" t="s">
        <v>192</v>
      </c>
      <c r="D28" s="2" t="s">
        <v>193</v>
      </c>
      <c r="E28" s="2">
        <v>0</v>
      </c>
      <c r="F28" s="2">
        <v>0</v>
      </c>
      <c r="G28" s="2">
        <v>0</v>
      </c>
      <c r="H28" s="2">
        <f t="shared" si="0"/>
        <v>0</v>
      </c>
      <c r="I28" s="2">
        <f t="shared" si="1"/>
        <v>1</v>
      </c>
      <c r="J28" s="2">
        <f t="shared" si="2"/>
        <v>0</v>
      </c>
      <c r="K28" s="2">
        <f t="shared" si="3"/>
        <v>0</v>
      </c>
      <c r="L28" s="2" t="str">
        <f t="shared" si="4"/>
        <v>Agreement</v>
      </c>
      <c r="M28" s="2">
        <f t="shared" si="5"/>
        <v>0</v>
      </c>
      <c r="N28" s="2">
        <f t="shared" si="6"/>
        <v>1</v>
      </c>
      <c r="O28" s="2">
        <f t="shared" si="7"/>
        <v>0</v>
      </c>
      <c r="P28" s="2">
        <f t="shared" si="8"/>
        <v>0</v>
      </c>
      <c r="Q28" s="2" t="str">
        <f t="shared" si="9"/>
        <v>Agreement</v>
      </c>
      <c r="R28" s="2">
        <v>-1</v>
      </c>
      <c r="S28" s="2">
        <v>-1</v>
      </c>
      <c r="T28" s="2">
        <v>-1</v>
      </c>
      <c r="U28" s="2">
        <f t="shared" si="10"/>
        <v>0</v>
      </c>
      <c r="V28" s="2">
        <f t="shared" si="11"/>
        <v>1</v>
      </c>
      <c r="W28" s="2">
        <f t="shared" si="12"/>
        <v>0</v>
      </c>
      <c r="X28" s="2">
        <f t="shared" si="13"/>
        <v>0</v>
      </c>
      <c r="Y28" s="2" t="str">
        <f t="shared" si="14"/>
        <v>Agreement</v>
      </c>
      <c r="Z28" s="2">
        <f t="shared" si="15"/>
        <v>0</v>
      </c>
      <c r="AA28" s="2">
        <f t="shared" si="16"/>
        <v>1</v>
      </c>
      <c r="AB28" s="2">
        <f t="shared" si="17"/>
        <v>0</v>
      </c>
      <c r="AC28" s="2">
        <f t="shared" si="18"/>
        <v>0</v>
      </c>
      <c r="AD28" s="2" t="str">
        <f t="shared" si="19"/>
        <v>Agreement</v>
      </c>
      <c r="AE28" s="2">
        <v>0</v>
      </c>
      <c r="AF28" s="2">
        <v>1</v>
      </c>
      <c r="AG28" s="2">
        <v>1</v>
      </c>
      <c r="AH28" s="2">
        <f t="shared" si="20"/>
        <v>-1</v>
      </c>
      <c r="AI28" s="2">
        <f t="shared" si="21"/>
        <v>0</v>
      </c>
      <c r="AJ28" s="2">
        <f t="shared" si="22"/>
        <v>0</v>
      </c>
      <c r="AK28" s="2">
        <f t="shared" si="23"/>
        <v>1</v>
      </c>
      <c r="AL28" s="2" t="str">
        <f t="shared" si="24"/>
        <v>Underestimation</v>
      </c>
      <c r="AM28" s="2">
        <f t="shared" si="25"/>
        <v>0</v>
      </c>
      <c r="AN28" s="2">
        <f t="shared" si="26"/>
        <v>1</v>
      </c>
      <c r="AO28" s="2">
        <f t="shared" si="27"/>
        <v>0</v>
      </c>
      <c r="AP28" s="2">
        <f t="shared" si="28"/>
        <v>0</v>
      </c>
      <c r="AQ28" s="2" t="str">
        <f t="shared" si="29"/>
        <v>Agreement</v>
      </c>
      <c r="AR28" s="3" t="s">
        <v>194</v>
      </c>
      <c r="AS28" s="3" t="s">
        <v>194</v>
      </c>
      <c r="AT28" s="3" t="s">
        <v>195</v>
      </c>
      <c r="AU28" s="3" t="s">
        <v>196</v>
      </c>
      <c r="AV28" s="3" t="s">
        <v>196</v>
      </c>
      <c r="AW28" s="3" t="s">
        <v>197</v>
      </c>
      <c r="AX28" s="3" t="s">
        <v>198</v>
      </c>
      <c r="AY28" s="3" t="s">
        <v>199</v>
      </c>
      <c r="AZ28" s="3" t="s">
        <v>200</v>
      </c>
      <c r="BA28" s="3" t="s">
        <v>201</v>
      </c>
    </row>
    <row r="29" spans="1:53" ht="15" customHeight="1">
      <c r="A29" s="2">
        <v>28</v>
      </c>
      <c r="B29" s="2">
        <v>1528861314</v>
      </c>
      <c r="C29" s="2" t="s">
        <v>112</v>
      </c>
      <c r="D29" s="2" t="s">
        <v>202</v>
      </c>
      <c r="E29" s="2">
        <v>0</v>
      </c>
      <c r="F29" s="2">
        <v>0</v>
      </c>
      <c r="G29" s="2">
        <v>0</v>
      </c>
      <c r="H29" s="2">
        <f t="shared" si="0"/>
        <v>0</v>
      </c>
      <c r="I29" s="2">
        <f t="shared" si="1"/>
        <v>1</v>
      </c>
      <c r="J29" s="2">
        <f t="shared" si="2"/>
        <v>0</v>
      </c>
      <c r="K29" s="2">
        <f t="shared" si="3"/>
        <v>0</v>
      </c>
      <c r="L29" s="2" t="str">
        <f t="shared" si="4"/>
        <v>Agreement</v>
      </c>
      <c r="M29" s="2">
        <f t="shared" si="5"/>
        <v>0</v>
      </c>
      <c r="N29" s="2">
        <f t="shared" si="6"/>
        <v>1</v>
      </c>
      <c r="O29" s="2">
        <f t="shared" si="7"/>
        <v>0</v>
      </c>
      <c r="P29" s="2">
        <f t="shared" si="8"/>
        <v>0</v>
      </c>
      <c r="Q29" s="2" t="str">
        <f t="shared" si="9"/>
        <v>Agreement</v>
      </c>
      <c r="R29" s="2">
        <v>-1</v>
      </c>
      <c r="S29" s="2">
        <v>-1</v>
      </c>
      <c r="T29" s="2">
        <v>-1</v>
      </c>
      <c r="U29" s="2">
        <f t="shared" si="10"/>
        <v>0</v>
      </c>
      <c r="V29" s="2">
        <f t="shared" si="11"/>
        <v>1</v>
      </c>
      <c r="W29" s="2">
        <f t="shared" si="12"/>
        <v>0</v>
      </c>
      <c r="X29" s="2">
        <f t="shared" si="13"/>
        <v>0</v>
      </c>
      <c r="Y29" s="2" t="str">
        <f t="shared" si="14"/>
        <v>Agreement</v>
      </c>
      <c r="Z29" s="2">
        <f t="shared" si="15"/>
        <v>0</v>
      </c>
      <c r="AA29" s="2">
        <f t="shared" si="16"/>
        <v>1</v>
      </c>
      <c r="AB29" s="2">
        <f t="shared" si="17"/>
        <v>0</v>
      </c>
      <c r="AC29" s="2">
        <f t="shared" si="18"/>
        <v>0</v>
      </c>
      <c r="AD29" s="2" t="str">
        <f t="shared" si="19"/>
        <v>Agreement</v>
      </c>
      <c r="AE29" s="2">
        <v>0</v>
      </c>
      <c r="AF29" s="2">
        <v>1</v>
      </c>
      <c r="AG29" s="2">
        <v>1</v>
      </c>
      <c r="AH29" s="2">
        <f t="shared" si="20"/>
        <v>-1</v>
      </c>
      <c r="AI29" s="2">
        <f t="shared" si="21"/>
        <v>0</v>
      </c>
      <c r="AJ29" s="2">
        <f t="shared" si="22"/>
        <v>0</v>
      </c>
      <c r="AK29" s="2">
        <f t="shared" si="23"/>
        <v>1</v>
      </c>
      <c r="AL29" s="2" t="str">
        <f t="shared" si="24"/>
        <v>Underestimation</v>
      </c>
      <c r="AM29" s="2">
        <f t="shared" si="25"/>
        <v>0</v>
      </c>
      <c r="AN29" s="2">
        <f t="shared" si="26"/>
        <v>1</v>
      </c>
      <c r="AO29" s="2">
        <f t="shared" si="27"/>
        <v>0</v>
      </c>
      <c r="AP29" s="2">
        <f t="shared" si="28"/>
        <v>0</v>
      </c>
      <c r="AQ29" s="2" t="str">
        <f t="shared" si="29"/>
        <v>Agreement</v>
      </c>
      <c r="AR29" s="3" t="s">
        <v>203</v>
      </c>
      <c r="AS29" s="3" t="s">
        <v>203</v>
      </c>
      <c r="AT29" s="3" t="s">
        <v>204</v>
      </c>
      <c r="AU29" s="3" t="s">
        <v>205</v>
      </c>
      <c r="AV29" s="3" t="s">
        <v>205</v>
      </c>
      <c r="AW29" s="3" t="s">
        <v>206</v>
      </c>
      <c r="AX29" s="3" t="s">
        <v>207</v>
      </c>
      <c r="AY29" s="3" t="s">
        <v>208</v>
      </c>
      <c r="AZ29" s="3" t="s">
        <v>200</v>
      </c>
      <c r="BA29" s="3" t="s">
        <v>201</v>
      </c>
    </row>
    <row r="30" spans="1:53" ht="15" customHeight="1">
      <c r="A30" s="2">
        <v>29</v>
      </c>
      <c r="B30" s="2">
        <v>1528861314</v>
      </c>
      <c r="C30" s="2" t="s">
        <v>192</v>
      </c>
      <c r="D30" s="2" t="s">
        <v>202</v>
      </c>
      <c r="E30" s="2">
        <v>0</v>
      </c>
      <c r="F30" s="2">
        <v>0</v>
      </c>
      <c r="G30" s="2">
        <v>0</v>
      </c>
      <c r="H30" s="2">
        <f t="shared" si="0"/>
        <v>0</v>
      </c>
      <c r="I30" s="2">
        <f t="shared" si="1"/>
        <v>1</v>
      </c>
      <c r="J30" s="2">
        <f t="shared" si="2"/>
        <v>0</v>
      </c>
      <c r="K30" s="2">
        <f t="shared" si="3"/>
        <v>0</v>
      </c>
      <c r="L30" s="2" t="str">
        <f t="shared" si="4"/>
        <v>Agreement</v>
      </c>
      <c r="M30" s="2">
        <f t="shared" si="5"/>
        <v>0</v>
      </c>
      <c r="N30" s="2">
        <f t="shared" si="6"/>
        <v>1</v>
      </c>
      <c r="O30" s="2">
        <f t="shared" si="7"/>
        <v>0</v>
      </c>
      <c r="P30" s="2">
        <f t="shared" si="8"/>
        <v>0</v>
      </c>
      <c r="Q30" s="2" t="str">
        <f t="shared" si="9"/>
        <v>Agreement</v>
      </c>
      <c r="R30" s="2">
        <v>-1</v>
      </c>
      <c r="S30" s="2">
        <v>-1</v>
      </c>
      <c r="T30" s="2">
        <v>-1</v>
      </c>
      <c r="U30" s="2">
        <f t="shared" si="10"/>
        <v>0</v>
      </c>
      <c r="V30" s="2">
        <f t="shared" si="11"/>
        <v>1</v>
      </c>
      <c r="W30" s="2">
        <f t="shared" si="12"/>
        <v>0</v>
      </c>
      <c r="X30" s="2">
        <f t="shared" si="13"/>
        <v>0</v>
      </c>
      <c r="Y30" s="2" t="str">
        <f t="shared" si="14"/>
        <v>Agreement</v>
      </c>
      <c r="Z30" s="2">
        <f t="shared" si="15"/>
        <v>0</v>
      </c>
      <c r="AA30" s="2">
        <f t="shared" si="16"/>
        <v>1</v>
      </c>
      <c r="AB30" s="2">
        <f t="shared" si="17"/>
        <v>0</v>
      </c>
      <c r="AC30" s="2">
        <f t="shared" si="18"/>
        <v>0</v>
      </c>
      <c r="AD30" s="2" t="str">
        <f t="shared" si="19"/>
        <v>Agreement</v>
      </c>
      <c r="AE30" s="2">
        <v>0</v>
      </c>
      <c r="AF30" s="2">
        <v>1</v>
      </c>
      <c r="AG30" s="2">
        <v>1</v>
      </c>
      <c r="AH30" s="2">
        <f t="shared" si="20"/>
        <v>-1</v>
      </c>
      <c r="AI30" s="2">
        <f t="shared" si="21"/>
        <v>0</v>
      </c>
      <c r="AJ30" s="2">
        <f t="shared" si="22"/>
        <v>0</v>
      </c>
      <c r="AK30" s="2">
        <f t="shared" si="23"/>
        <v>1</v>
      </c>
      <c r="AL30" s="2" t="str">
        <f t="shared" si="24"/>
        <v>Underestimation</v>
      </c>
      <c r="AM30" s="2">
        <f t="shared" si="25"/>
        <v>0</v>
      </c>
      <c r="AN30" s="2">
        <f t="shared" si="26"/>
        <v>1</v>
      </c>
      <c r="AO30" s="2">
        <f t="shared" si="27"/>
        <v>0</v>
      </c>
      <c r="AP30" s="2">
        <f t="shared" si="28"/>
        <v>0</v>
      </c>
      <c r="AQ30" s="2" t="str">
        <f t="shared" si="29"/>
        <v>Agreement</v>
      </c>
      <c r="AR30" s="3" t="s">
        <v>209</v>
      </c>
      <c r="AS30" s="3" t="s">
        <v>209</v>
      </c>
      <c r="AT30" s="3" t="s">
        <v>204</v>
      </c>
      <c r="AU30" s="3" t="s">
        <v>210</v>
      </c>
      <c r="AV30" s="3" t="s">
        <v>210</v>
      </c>
      <c r="AW30" s="3" t="s">
        <v>197</v>
      </c>
      <c r="AX30" s="3" t="s">
        <v>198</v>
      </c>
      <c r="AY30" s="3" t="s">
        <v>199</v>
      </c>
      <c r="AZ30" s="3" t="s">
        <v>200</v>
      </c>
      <c r="BA30" s="3" t="s">
        <v>201</v>
      </c>
    </row>
    <row r="31" spans="1:53" ht="15" customHeight="1">
      <c r="A31" s="2">
        <v>30</v>
      </c>
      <c r="B31" s="2">
        <v>1528861314</v>
      </c>
      <c r="C31" s="2" t="s">
        <v>192</v>
      </c>
      <c r="D31" s="2" t="s">
        <v>211</v>
      </c>
      <c r="E31" s="2">
        <v>0</v>
      </c>
      <c r="F31" s="2">
        <v>0</v>
      </c>
      <c r="G31" s="2">
        <v>0</v>
      </c>
      <c r="H31" s="2">
        <f t="shared" si="0"/>
        <v>0</v>
      </c>
      <c r="I31" s="2">
        <f t="shared" si="1"/>
        <v>1</v>
      </c>
      <c r="J31" s="2">
        <f t="shared" si="2"/>
        <v>0</v>
      </c>
      <c r="K31" s="2">
        <f t="shared" si="3"/>
        <v>0</v>
      </c>
      <c r="L31" s="2" t="str">
        <f t="shared" si="4"/>
        <v>Agreement</v>
      </c>
      <c r="M31" s="2">
        <f t="shared" si="5"/>
        <v>0</v>
      </c>
      <c r="N31" s="2">
        <f t="shared" si="6"/>
        <v>1</v>
      </c>
      <c r="O31" s="2">
        <f t="shared" si="7"/>
        <v>0</v>
      </c>
      <c r="P31" s="2">
        <f t="shared" si="8"/>
        <v>0</v>
      </c>
      <c r="Q31" s="2" t="str">
        <f t="shared" si="9"/>
        <v>Agreement</v>
      </c>
      <c r="R31" s="2">
        <v>-1</v>
      </c>
      <c r="S31" s="2">
        <v>-1</v>
      </c>
      <c r="T31" s="2">
        <v>-1</v>
      </c>
      <c r="U31" s="2">
        <f t="shared" si="10"/>
        <v>0</v>
      </c>
      <c r="V31" s="2">
        <f t="shared" si="11"/>
        <v>1</v>
      </c>
      <c r="W31" s="2">
        <f t="shared" si="12"/>
        <v>0</v>
      </c>
      <c r="X31" s="2">
        <f t="shared" si="13"/>
        <v>0</v>
      </c>
      <c r="Y31" s="2" t="str">
        <f t="shared" si="14"/>
        <v>Agreement</v>
      </c>
      <c r="Z31" s="2">
        <f t="shared" si="15"/>
        <v>0</v>
      </c>
      <c r="AA31" s="2">
        <f t="shared" si="16"/>
        <v>1</v>
      </c>
      <c r="AB31" s="2">
        <f t="shared" si="17"/>
        <v>0</v>
      </c>
      <c r="AC31" s="2">
        <f t="shared" si="18"/>
        <v>0</v>
      </c>
      <c r="AD31" s="2" t="str">
        <f t="shared" si="19"/>
        <v>Agreement</v>
      </c>
      <c r="AE31" s="2">
        <v>0</v>
      </c>
      <c r="AF31" s="2">
        <v>1</v>
      </c>
      <c r="AG31" s="2">
        <v>1</v>
      </c>
      <c r="AH31" s="2">
        <f t="shared" si="20"/>
        <v>-1</v>
      </c>
      <c r="AI31" s="2">
        <f t="shared" si="21"/>
        <v>0</v>
      </c>
      <c r="AJ31" s="2">
        <f t="shared" si="22"/>
        <v>0</v>
      </c>
      <c r="AK31" s="2">
        <f t="shared" si="23"/>
        <v>1</v>
      </c>
      <c r="AL31" s="2" t="str">
        <f t="shared" si="24"/>
        <v>Underestimation</v>
      </c>
      <c r="AM31" s="2">
        <f t="shared" si="25"/>
        <v>0</v>
      </c>
      <c r="AN31" s="2">
        <f t="shared" si="26"/>
        <v>1</v>
      </c>
      <c r="AO31" s="2">
        <f t="shared" si="27"/>
        <v>0</v>
      </c>
      <c r="AP31" s="2">
        <f t="shared" si="28"/>
        <v>0</v>
      </c>
      <c r="AQ31" s="2" t="str">
        <f t="shared" si="29"/>
        <v>Agreement</v>
      </c>
      <c r="AR31" s="3" t="s">
        <v>212</v>
      </c>
      <c r="AS31" s="3" t="s">
        <v>212</v>
      </c>
      <c r="AT31" s="3" t="s">
        <v>204</v>
      </c>
      <c r="AU31" s="3" t="s">
        <v>213</v>
      </c>
      <c r="AV31" s="3" t="s">
        <v>213</v>
      </c>
      <c r="AW31" s="3" t="s">
        <v>197</v>
      </c>
      <c r="AX31" s="3" t="s">
        <v>198</v>
      </c>
      <c r="AY31" s="3" t="s">
        <v>199</v>
      </c>
      <c r="AZ31" s="3" t="s">
        <v>200</v>
      </c>
      <c r="BA31" s="3" t="s">
        <v>201</v>
      </c>
    </row>
    <row r="32" spans="1:53" ht="15" customHeight="1">
      <c r="A32" s="2">
        <v>31</v>
      </c>
      <c r="B32" s="2">
        <v>1533150218</v>
      </c>
      <c r="C32" s="2" t="s">
        <v>214</v>
      </c>
      <c r="D32" s="2" t="s">
        <v>215</v>
      </c>
      <c r="E32" s="2">
        <v>0</v>
      </c>
      <c r="F32" s="2">
        <v>0</v>
      </c>
      <c r="G32" s="2">
        <v>0</v>
      </c>
      <c r="H32" s="2">
        <f t="shared" si="0"/>
        <v>0</v>
      </c>
      <c r="I32" s="2">
        <f t="shared" si="1"/>
        <v>1</v>
      </c>
      <c r="J32" s="2">
        <f t="shared" si="2"/>
        <v>0</v>
      </c>
      <c r="K32" s="2">
        <f t="shared" si="3"/>
        <v>0</v>
      </c>
      <c r="L32" s="2" t="str">
        <f t="shared" si="4"/>
        <v>Agreement</v>
      </c>
      <c r="M32" s="2">
        <f t="shared" si="5"/>
        <v>0</v>
      </c>
      <c r="N32" s="2">
        <f t="shared" si="6"/>
        <v>1</v>
      </c>
      <c r="O32" s="2">
        <f t="shared" si="7"/>
        <v>0</v>
      </c>
      <c r="P32" s="2">
        <f t="shared" si="8"/>
        <v>0</v>
      </c>
      <c r="Q32" s="2" t="str">
        <f t="shared" si="9"/>
        <v>Agreement</v>
      </c>
      <c r="R32" s="2">
        <v>-1</v>
      </c>
      <c r="S32" s="2">
        <v>-1</v>
      </c>
      <c r="T32" s="2">
        <v>-1</v>
      </c>
      <c r="U32" s="2">
        <f t="shared" si="10"/>
        <v>0</v>
      </c>
      <c r="V32" s="2">
        <f t="shared" si="11"/>
        <v>1</v>
      </c>
      <c r="W32" s="2">
        <f t="shared" si="12"/>
        <v>0</v>
      </c>
      <c r="X32" s="2">
        <f t="shared" si="13"/>
        <v>0</v>
      </c>
      <c r="Y32" s="2" t="str">
        <f t="shared" si="14"/>
        <v>Agreement</v>
      </c>
      <c r="Z32" s="2">
        <f t="shared" si="15"/>
        <v>0</v>
      </c>
      <c r="AA32" s="2">
        <f t="shared" si="16"/>
        <v>1</v>
      </c>
      <c r="AB32" s="2">
        <f t="shared" si="17"/>
        <v>0</v>
      </c>
      <c r="AC32" s="2">
        <f t="shared" si="18"/>
        <v>0</v>
      </c>
      <c r="AD32" s="2" t="str">
        <f t="shared" si="19"/>
        <v>Agreement</v>
      </c>
      <c r="AE32" s="2">
        <v>0</v>
      </c>
      <c r="AF32" s="2">
        <v>1</v>
      </c>
      <c r="AG32" s="2">
        <v>1</v>
      </c>
      <c r="AH32" s="2">
        <f t="shared" si="20"/>
        <v>-1</v>
      </c>
      <c r="AI32" s="2">
        <f t="shared" si="21"/>
        <v>0</v>
      </c>
      <c r="AJ32" s="2">
        <f t="shared" si="22"/>
        <v>0</v>
      </c>
      <c r="AK32" s="2">
        <f t="shared" si="23"/>
        <v>1</v>
      </c>
      <c r="AL32" s="2" t="str">
        <f t="shared" si="24"/>
        <v>Underestimation</v>
      </c>
      <c r="AM32" s="2">
        <f t="shared" si="25"/>
        <v>0</v>
      </c>
      <c r="AN32" s="2">
        <f t="shared" si="26"/>
        <v>1</v>
      </c>
      <c r="AO32" s="2">
        <f t="shared" si="27"/>
        <v>0</v>
      </c>
      <c r="AP32" s="2">
        <f t="shared" si="28"/>
        <v>0</v>
      </c>
      <c r="AQ32" s="2" t="str">
        <f t="shared" si="29"/>
        <v>Agreement</v>
      </c>
      <c r="AR32" s="3" t="s">
        <v>55</v>
      </c>
      <c r="AS32" s="3" t="s">
        <v>55</v>
      </c>
      <c r="AT32" s="3" t="s">
        <v>55</v>
      </c>
      <c r="AU32" s="3" t="s">
        <v>216</v>
      </c>
      <c r="AV32" s="3" t="s">
        <v>216</v>
      </c>
      <c r="AW32" s="3" t="s">
        <v>217</v>
      </c>
      <c r="AX32" s="3" t="s">
        <v>218</v>
      </c>
      <c r="AY32" s="3" t="s">
        <v>219</v>
      </c>
      <c r="AZ32" s="3" t="s">
        <v>60</v>
      </c>
      <c r="BA32" s="3" t="s">
        <v>220</v>
      </c>
    </row>
    <row r="33" spans="1:53" ht="15" customHeight="1">
      <c r="A33" s="2">
        <v>32</v>
      </c>
      <c r="B33" s="2">
        <v>1533150218</v>
      </c>
      <c r="C33" s="2" t="s">
        <v>65</v>
      </c>
      <c r="D33" s="2" t="s">
        <v>215</v>
      </c>
      <c r="E33" s="2">
        <v>0</v>
      </c>
      <c r="F33" s="2">
        <v>0</v>
      </c>
      <c r="G33" s="2">
        <v>0</v>
      </c>
      <c r="H33" s="2">
        <f t="shared" si="0"/>
        <v>0</v>
      </c>
      <c r="I33" s="2">
        <f t="shared" si="1"/>
        <v>1</v>
      </c>
      <c r="J33" s="2">
        <f t="shared" si="2"/>
        <v>0</v>
      </c>
      <c r="K33" s="2">
        <f t="shared" si="3"/>
        <v>0</v>
      </c>
      <c r="L33" s="2" t="str">
        <f t="shared" si="4"/>
        <v>Agreement</v>
      </c>
      <c r="M33" s="2">
        <f t="shared" si="5"/>
        <v>0</v>
      </c>
      <c r="N33" s="2">
        <f t="shared" si="6"/>
        <v>1</v>
      </c>
      <c r="O33" s="2">
        <f t="shared" si="7"/>
        <v>0</v>
      </c>
      <c r="P33" s="2">
        <f t="shared" si="8"/>
        <v>0</v>
      </c>
      <c r="Q33" s="2" t="str">
        <f t="shared" si="9"/>
        <v>Agreement</v>
      </c>
      <c r="R33" s="2">
        <v>-1</v>
      </c>
      <c r="S33" s="2">
        <v>-1</v>
      </c>
      <c r="T33" s="2">
        <v>-1</v>
      </c>
      <c r="U33" s="2">
        <f t="shared" si="10"/>
        <v>0</v>
      </c>
      <c r="V33" s="2">
        <f t="shared" si="11"/>
        <v>1</v>
      </c>
      <c r="W33" s="2">
        <f t="shared" si="12"/>
        <v>0</v>
      </c>
      <c r="X33" s="2">
        <f t="shared" si="13"/>
        <v>0</v>
      </c>
      <c r="Y33" s="2" t="str">
        <f t="shared" si="14"/>
        <v>Agreement</v>
      </c>
      <c r="Z33" s="2">
        <f t="shared" si="15"/>
        <v>0</v>
      </c>
      <c r="AA33" s="2">
        <f t="shared" si="16"/>
        <v>1</v>
      </c>
      <c r="AB33" s="2">
        <f t="shared" si="17"/>
        <v>0</v>
      </c>
      <c r="AC33" s="2">
        <f t="shared" si="18"/>
        <v>0</v>
      </c>
      <c r="AD33" s="2" t="str">
        <f t="shared" si="19"/>
        <v>Agreement</v>
      </c>
      <c r="AE33" s="2">
        <v>0</v>
      </c>
      <c r="AF33" s="2">
        <v>1</v>
      </c>
      <c r="AG33" s="2">
        <v>1</v>
      </c>
      <c r="AH33" s="2">
        <f t="shared" si="20"/>
        <v>-1</v>
      </c>
      <c r="AI33" s="2">
        <f t="shared" si="21"/>
        <v>0</v>
      </c>
      <c r="AJ33" s="2">
        <f t="shared" si="22"/>
        <v>0</v>
      </c>
      <c r="AK33" s="2">
        <f t="shared" si="23"/>
        <v>1</v>
      </c>
      <c r="AL33" s="2" t="str">
        <f t="shared" si="24"/>
        <v>Underestimation</v>
      </c>
      <c r="AM33" s="2">
        <f t="shared" si="25"/>
        <v>0</v>
      </c>
      <c r="AN33" s="2">
        <f t="shared" si="26"/>
        <v>1</v>
      </c>
      <c r="AO33" s="2">
        <f t="shared" si="27"/>
        <v>0</v>
      </c>
      <c r="AP33" s="2">
        <f t="shared" si="28"/>
        <v>0</v>
      </c>
      <c r="AQ33" s="2" t="str">
        <f t="shared" si="29"/>
        <v>Agreement</v>
      </c>
      <c r="AR33" s="3" t="s">
        <v>55</v>
      </c>
      <c r="AS33" s="3" t="s">
        <v>55</v>
      </c>
      <c r="AT33" s="3" t="s">
        <v>55</v>
      </c>
      <c r="AU33" s="3" t="s">
        <v>221</v>
      </c>
      <c r="AV33" s="3" t="s">
        <v>221</v>
      </c>
      <c r="AW33" s="3" t="s">
        <v>222</v>
      </c>
      <c r="AX33" s="3" t="s">
        <v>223</v>
      </c>
      <c r="AY33" s="3" t="s">
        <v>70</v>
      </c>
      <c r="AZ33" s="3" t="s">
        <v>60</v>
      </c>
      <c r="BA33" s="3" t="s">
        <v>220</v>
      </c>
    </row>
    <row r="34" spans="1:53" ht="15" customHeight="1">
      <c r="A34" s="2">
        <v>33</v>
      </c>
      <c r="B34" s="2">
        <v>1533150218</v>
      </c>
      <c r="C34" s="2" t="s">
        <v>214</v>
      </c>
      <c r="D34" s="2" t="s">
        <v>224</v>
      </c>
      <c r="E34" s="2">
        <v>0</v>
      </c>
      <c r="F34" s="2">
        <v>0</v>
      </c>
      <c r="G34" s="2">
        <v>0</v>
      </c>
      <c r="H34" s="2">
        <f t="shared" ref="H34:H65" si="30">E34-G34</f>
        <v>0</v>
      </c>
      <c r="I34" s="2">
        <f t="shared" ref="I34:I61" si="31">IF(E34=G34,1,0)</f>
        <v>1</v>
      </c>
      <c r="J34" s="2">
        <f t="shared" ref="J34:J61" si="32">IF(E34&gt;G34,1,0)</f>
        <v>0</v>
      </c>
      <c r="K34" s="2">
        <f t="shared" ref="K34:K61" si="33">IF(E34&lt;G34,1,0)</f>
        <v>0</v>
      </c>
      <c r="L34" s="2" t="str">
        <f t="shared" ref="L34:L61" si="34">IF(E34=G34,"Agreement",IF(E34&gt;G34,"Overestimation","Underestimation"))</f>
        <v>Agreement</v>
      </c>
      <c r="M34" s="2">
        <f t="shared" ref="M34:M61" si="35">F34-G34</f>
        <v>0</v>
      </c>
      <c r="N34" s="2">
        <f t="shared" ref="N34:N61" si="36">IF(F34=G34,1,0)</f>
        <v>1</v>
      </c>
      <c r="O34" s="2">
        <f t="shared" ref="O34:O61" si="37">IF(F34&gt;G34,1,0)</f>
        <v>0</v>
      </c>
      <c r="P34" s="2">
        <f t="shared" ref="P34:P61" si="38">IF(F34&lt;G34,1,0)</f>
        <v>0</v>
      </c>
      <c r="Q34" s="2" t="str">
        <f t="shared" ref="Q34:Q61" si="39">IF(F34=G34,"Agreement",IF(F34&gt;G34,"Overestimation","Underestimation"))</f>
        <v>Agreement</v>
      </c>
      <c r="R34" s="2">
        <v>-1</v>
      </c>
      <c r="S34" s="2">
        <v>-1</v>
      </c>
      <c r="T34" s="2">
        <v>-1</v>
      </c>
      <c r="U34" s="2">
        <f t="shared" ref="U34:U65" si="40">R34-T34</f>
        <v>0</v>
      </c>
      <c r="V34" s="2">
        <f t="shared" ref="V34:V61" si="41">IF(R34=T34,1,0)</f>
        <v>1</v>
      </c>
      <c r="W34" s="2">
        <f t="shared" ref="W34:W61" si="42">IF(R34&gt;T34,1,0)</f>
        <v>0</v>
      </c>
      <c r="X34" s="2">
        <f t="shared" ref="X34:X61" si="43">IF(R34&lt;T34,1,0)</f>
        <v>0</v>
      </c>
      <c r="Y34" s="2" t="str">
        <f t="shared" ref="Y34:Y61" si="44">IF(R34=T34,"Agreement",IF(R34&gt;T34,"Overestimation","Underestimation"))</f>
        <v>Agreement</v>
      </c>
      <c r="Z34" s="2">
        <f t="shared" ref="Z34:Z61" si="45">S34-T34</f>
        <v>0</v>
      </c>
      <c r="AA34" s="2">
        <f t="shared" ref="AA34:AA61" si="46">IF(S34=T34,1,0)</f>
        <v>1</v>
      </c>
      <c r="AB34" s="2">
        <f t="shared" ref="AB34:AB61" si="47">IF(S34&gt;T34,1,0)</f>
        <v>0</v>
      </c>
      <c r="AC34" s="2">
        <f t="shared" ref="AC34:AC61" si="48">IF(S34&lt;T34,1,0)</f>
        <v>0</v>
      </c>
      <c r="AD34" s="2" t="str">
        <f t="shared" ref="AD34:AD61" si="49">IF(S34=T34,"Agreement",IF(S34&gt;T34,"Overestimation","Underestimation"))</f>
        <v>Agreement</v>
      </c>
      <c r="AE34" s="2">
        <v>0</v>
      </c>
      <c r="AF34" s="2">
        <v>1</v>
      </c>
      <c r="AG34" s="2">
        <v>1</v>
      </c>
      <c r="AH34" s="2">
        <f t="shared" ref="AH34:AH65" si="50">AE34-AG34</f>
        <v>-1</v>
      </c>
      <c r="AI34" s="2">
        <f t="shared" ref="AI34:AI61" si="51">IF(AE34=AG34,1,0)</f>
        <v>0</v>
      </c>
      <c r="AJ34" s="2">
        <f t="shared" ref="AJ34:AJ61" si="52">IF(AE34&gt;AG34,1,0)</f>
        <v>0</v>
      </c>
      <c r="AK34" s="2">
        <f t="shared" ref="AK34:AK61" si="53">IF(AE34&lt;AG34,1,0)</f>
        <v>1</v>
      </c>
      <c r="AL34" s="2" t="str">
        <f t="shared" ref="AL34:AL61" si="54">IF(AE34=AG34,"Agreement",IF(AE34&gt;AG34,"Overestimation","Underestimation"))</f>
        <v>Underestimation</v>
      </c>
      <c r="AM34" s="2">
        <f t="shared" ref="AM34:AM61" si="55">AF34-AG34</f>
        <v>0</v>
      </c>
      <c r="AN34" s="2">
        <f t="shared" ref="AN34:AN61" si="56">IF(AF34=AG34,1,0)</f>
        <v>1</v>
      </c>
      <c r="AO34" s="2">
        <f t="shared" ref="AO34:AO61" si="57">IF(AF34&gt;AG34,1,0)</f>
        <v>0</v>
      </c>
      <c r="AP34" s="2">
        <f t="shared" ref="AP34:AP61" si="58">IF(AF34&lt;AG34,1,0)</f>
        <v>0</v>
      </c>
      <c r="AQ34" s="2" t="str">
        <f t="shared" ref="AQ34:AQ61" si="59">IF(AF34=AG34,"Agreement",IF(AF34&gt;AG34,"Overestimation","Underestimation"))</f>
        <v>Agreement</v>
      </c>
      <c r="AR34" s="3" t="s">
        <v>55</v>
      </c>
      <c r="AS34" s="3" t="s">
        <v>55</v>
      </c>
      <c r="AT34" s="3" t="s">
        <v>55</v>
      </c>
      <c r="AU34" s="3" t="s">
        <v>225</v>
      </c>
      <c r="AV34" s="3" t="s">
        <v>225</v>
      </c>
      <c r="AW34" s="3" t="s">
        <v>217</v>
      </c>
      <c r="AX34" s="3" t="s">
        <v>218</v>
      </c>
      <c r="AY34" s="3" t="s">
        <v>219</v>
      </c>
      <c r="AZ34" s="3" t="s">
        <v>60</v>
      </c>
      <c r="BA34" s="3" t="s">
        <v>220</v>
      </c>
    </row>
    <row r="35" spans="1:53" ht="15" customHeight="1">
      <c r="A35" s="2">
        <v>34</v>
      </c>
      <c r="B35" s="2">
        <v>1533150218</v>
      </c>
      <c r="C35" s="2" t="s">
        <v>65</v>
      </c>
      <c r="D35" s="2" t="s">
        <v>224</v>
      </c>
      <c r="E35" s="2">
        <v>0</v>
      </c>
      <c r="F35" s="2">
        <v>0</v>
      </c>
      <c r="G35" s="2">
        <v>0</v>
      </c>
      <c r="H35" s="2">
        <f t="shared" si="30"/>
        <v>0</v>
      </c>
      <c r="I35" s="2">
        <f t="shared" si="31"/>
        <v>1</v>
      </c>
      <c r="J35" s="2">
        <f t="shared" si="32"/>
        <v>0</v>
      </c>
      <c r="K35" s="2">
        <f t="shared" si="33"/>
        <v>0</v>
      </c>
      <c r="L35" s="2" t="str">
        <f t="shared" si="34"/>
        <v>Agreement</v>
      </c>
      <c r="M35" s="2">
        <f t="shared" si="35"/>
        <v>0</v>
      </c>
      <c r="N35" s="2">
        <f t="shared" si="36"/>
        <v>1</v>
      </c>
      <c r="O35" s="2">
        <f t="shared" si="37"/>
        <v>0</v>
      </c>
      <c r="P35" s="2">
        <f t="shared" si="38"/>
        <v>0</v>
      </c>
      <c r="Q35" s="2" t="str">
        <f t="shared" si="39"/>
        <v>Agreement</v>
      </c>
      <c r="R35" s="2">
        <v>-1</v>
      </c>
      <c r="S35" s="2">
        <v>-1</v>
      </c>
      <c r="T35" s="2">
        <v>-1</v>
      </c>
      <c r="U35" s="2">
        <f t="shared" si="40"/>
        <v>0</v>
      </c>
      <c r="V35" s="2">
        <f t="shared" si="41"/>
        <v>1</v>
      </c>
      <c r="W35" s="2">
        <f t="shared" si="42"/>
        <v>0</v>
      </c>
      <c r="X35" s="2">
        <f t="shared" si="43"/>
        <v>0</v>
      </c>
      <c r="Y35" s="2" t="str">
        <f t="shared" si="44"/>
        <v>Agreement</v>
      </c>
      <c r="Z35" s="2">
        <f t="shared" si="45"/>
        <v>0</v>
      </c>
      <c r="AA35" s="2">
        <f t="shared" si="46"/>
        <v>1</v>
      </c>
      <c r="AB35" s="2">
        <f t="shared" si="47"/>
        <v>0</v>
      </c>
      <c r="AC35" s="2">
        <f t="shared" si="48"/>
        <v>0</v>
      </c>
      <c r="AD35" s="2" t="str">
        <f t="shared" si="49"/>
        <v>Agreement</v>
      </c>
      <c r="AE35" s="2">
        <v>0</v>
      </c>
      <c r="AF35" s="2">
        <v>1</v>
      </c>
      <c r="AG35" s="2">
        <v>1</v>
      </c>
      <c r="AH35" s="2">
        <f t="shared" si="50"/>
        <v>-1</v>
      </c>
      <c r="AI35" s="2">
        <f t="shared" si="51"/>
        <v>0</v>
      </c>
      <c r="AJ35" s="2">
        <f t="shared" si="52"/>
        <v>0</v>
      </c>
      <c r="AK35" s="2">
        <f t="shared" si="53"/>
        <v>1</v>
      </c>
      <c r="AL35" s="2" t="str">
        <f t="shared" si="54"/>
        <v>Underestimation</v>
      </c>
      <c r="AM35" s="2">
        <f t="shared" si="55"/>
        <v>0</v>
      </c>
      <c r="AN35" s="2">
        <f t="shared" si="56"/>
        <v>1</v>
      </c>
      <c r="AO35" s="2">
        <f t="shared" si="57"/>
        <v>0</v>
      </c>
      <c r="AP35" s="2">
        <f t="shared" si="58"/>
        <v>0</v>
      </c>
      <c r="AQ35" s="2" t="str">
        <f t="shared" si="59"/>
        <v>Agreement</v>
      </c>
      <c r="AR35" s="3" t="s">
        <v>55</v>
      </c>
      <c r="AS35" s="3" t="s">
        <v>55</v>
      </c>
      <c r="AT35" s="3" t="s">
        <v>55</v>
      </c>
      <c r="AU35" s="3" t="s">
        <v>226</v>
      </c>
      <c r="AV35" s="3" t="s">
        <v>226</v>
      </c>
      <c r="AW35" s="3" t="s">
        <v>222</v>
      </c>
      <c r="AX35" s="3" t="s">
        <v>223</v>
      </c>
      <c r="AY35" s="3" t="s">
        <v>70</v>
      </c>
      <c r="AZ35" s="3" t="s">
        <v>60</v>
      </c>
      <c r="BA35" s="3" t="s">
        <v>220</v>
      </c>
    </row>
    <row r="36" spans="1:53" ht="15" customHeight="1">
      <c r="A36" s="2">
        <v>35</v>
      </c>
      <c r="B36" s="2">
        <v>1533150218</v>
      </c>
      <c r="C36" s="2" t="s">
        <v>227</v>
      </c>
      <c r="D36" s="2" t="s">
        <v>224</v>
      </c>
      <c r="E36" s="2">
        <v>0</v>
      </c>
      <c r="F36" s="2">
        <v>0</v>
      </c>
      <c r="G36" s="2">
        <v>0</v>
      </c>
      <c r="H36" s="2">
        <f t="shared" si="30"/>
        <v>0</v>
      </c>
      <c r="I36" s="2">
        <f t="shared" si="31"/>
        <v>1</v>
      </c>
      <c r="J36" s="2">
        <f t="shared" si="32"/>
        <v>0</v>
      </c>
      <c r="K36" s="2">
        <f t="shared" si="33"/>
        <v>0</v>
      </c>
      <c r="L36" s="2" t="str">
        <f t="shared" si="34"/>
        <v>Agreement</v>
      </c>
      <c r="M36" s="2">
        <f t="shared" si="35"/>
        <v>0</v>
      </c>
      <c r="N36" s="2">
        <f t="shared" si="36"/>
        <v>1</v>
      </c>
      <c r="O36" s="2">
        <f t="shared" si="37"/>
        <v>0</v>
      </c>
      <c r="P36" s="2">
        <f t="shared" si="38"/>
        <v>0</v>
      </c>
      <c r="Q36" s="2" t="str">
        <f t="shared" si="39"/>
        <v>Agreement</v>
      </c>
      <c r="R36" s="2">
        <v>-1</v>
      </c>
      <c r="S36" s="2">
        <v>-1</v>
      </c>
      <c r="T36" s="2">
        <v>-1</v>
      </c>
      <c r="U36" s="2">
        <f t="shared" si="40"/>
        <v>0</v>
      </c>
      <c r="V36" s="2">
        <f t="shared" si="41"/>
        <v>1</v>
      </c>
      <c r="W36" s="2">
        <f t="shared" si="42"/>
        <v>0</v>
      </c>
      <c r="X36" s="2">
        <f t="shared" si="43"/>
        <v>0</v>
      </c>
      <c r="Y36" s="2" t="str">
        <f t="shared" si="44"/>
        <v>Agreement</v>
      </c>
      <c r="Z36" s="2">
        <f t="shared" si="45"/>
        <v>0</v>
      </c>
      <c r="AA36" s="2">
        <f t="shared" si="46"/>
        <v>1</v>
      </c>
      <c r="AB36" s="2">
        <f t="shared" si="47"/>
        <v>0</v>
      </c>
      <c r="AC36" s="2">
        <f t="shared" si="48"/>
        <v>0</v>
      </c>
      <c r="AD36" s="2" t="str">
        <f t="shared" si="49"/>
        <v>Agreement</v>
      </c>
      <c r="AE36" s="2">
        <v>0</v>
      </c>
      <c r="AF36" s="2">
        <v>1</v>
      </c>
      <c r="AG36" s="2">
        <v>1</v>
      </c>
      <c r="AH36" s="2">
        <f t="shared" si="50"/>
        <v>-1</v>
      </c>
      <c r="AI36" s="2">
        <f t="shared" si="51"/>
        <v>0</v>
      </c>
      <c r="AJ36" s="2">
        <f t="shared" si="52"/>
        <v>0</v>
      </c>
      <c r="AK36" s="2">
        <f t="shared" si="53"/>
        <v>1</v>
      </c>
      <c r="AL36" s="2" t="str">
        <f t="shared" si="54"/>
        <v>Underestimation</v>
      </c>
      <c r="AM36" s="2">
        <f t="shared" si="55"/>
        <v>0</v>
      </c>
      <c r="AN36" s="2">
        <f t="shared" si="56"/>
        <v>1</v>
      </c>
      <c r="AO36" s="2">
        <f t="shared" si="57"/>
        <v>0</v>
      </c>
      <c r="AP36" s="2">
        <f t="shared" si="58"/>
        <v>0</v>
      </c>
      <c r="AQ36" s="2" t="str">
        <f t="shared" si="59"/>
        <v>Agreement</v>
      </c>
      <c r="AR36" s="3" t="s">
        <v>55</v>
      </c>
      <c r="AS36" s="3" t="s">
        <v>55</v>
      </c>
      <c r="AT36" s="3" t="s">
        <v>55</v>
      </c>
      <c r="AU36" s="3" t="s">
        <v>228</v>
      </c>
      <c r="AV36" s="3" t="s">
        <v>228</v>
      </c>
      <c r="AW36" s="3" t="s">
        <v>217</v>
      </c>
      <c r="AX36" s="3" t="s">
        <v>229</v>
      </c>
      <c r="AY36" s="3" t="s">
        <v>230</v>
      </c>
      <c r="AZ36" s="3" t="s">
        <v>60</v>
      </c>
      <c r="BA36" s="3" t="s">
        <v>220</v>
      </c>
    </row>
    <row r="37" spans="1:53" ht="15" customHeight="1">
      <c r="A37" s="2">
        <v>36</v>
      </c>
      <c r="B37" s="2">
        <v>1533150218</v>
      </c>
      <c r="C37" s="2" t="s">
        <v>214</v>
      </c>
      <c r="D37" s="2" t="s">
        <v>231</v>
      </c>
      <c r="E37" s="2">
        <v>0</v>
      </c>
      <c r="F37" s="2">
        <v>0</v>
      </c>
      <c r="G37" s="2">
        <v>0</v>
      </c>
      <c r="H37" s="2">
        <f t="shared" si="30"/>
        <v>0</v>
      </c>
      <c r="I37" s="2">
        <f t="shared" si="31"/>
        <v>1</v>
      </c>
      <c r="J37" s="2">
        <f t="shared" si="32"/>
        <v>0</v>
      </c>
      <c r="K37" s="2">
        <f t="shared" si="33"/>
        <v>0</v>
      </c>
      <c r="L37" s="2" t="str">
        <f t="shared" si="34"/>
        <v>Agreement</v>
      </c>
      <c r="M37" s="2">
        <f t="shared" si="35"/>
        <v>0</v>
      </c>
      <c r="N37" s="2">
        <f t="shared" si="36"/>
        <v>1</v>
      </c>
      <c r="O37" s="2">
        <f t="shared" si="37"/>
        <v>0</v>
      </c>
      <c r="P37" s="2">
        <f t="shared" si="38"/>
        <v>0</v>
      </c>
      <c r="Q37" s="2" t="str">
        <f t="shared" si="39"/>
        <v>Agreement</v>
      </c>
      <c r="R37" s="2">
        <v>-1</v>
      </c>
      <c r="S37" s="2">
        <v>-1</v>
      </c>
      <c r="T37" s="2">
        <v>-1</v>
      </c>
      <c r="U37" s="2">
        <f t="shared" si="40"/>
        <v>0</v>
      </c>
      <c r="V37" s="2">
        <f t="shared" si="41"/>
        <v>1</v>
      </c>
      <c r="W37" s="2">
        <f t="shared" si="42"/>
        <v>0</v>
      </c>
      <c r="X37" s="2">
        <f t="shared" si="43"/>
        <v>0</v>
      </c>
      <c r="Y37" s="2" t="str">
        <f t="shared" si="44"/>
        <v>Agreement</v>
      </c>
      <c r="Z37" s="2">
        <f t="shared" si="45"/>
        <v>0</v>
      </c>
      <c r="AA37" s="2">
        <f t="shared" si="46"/>
        <v>1</v>
      </c>
      <c r="AB37" s="2">
        <f t="shared" si="47"/>
        <v>0</v>
      </c>
      <c r="AC37" s="2">
        <f t="shared" si="48"/>
        <v>0</v>
      </c>
      <c r="AD37" s="2" t="str">
        <f t="shared" si="49"/>
        <v>Agreement</v>
      </c>
      <c r="AE37" s="2">
        <v>0</v>
      </c>
      <c r="AF37" s="2">
        <v>1</v>
      </c>
      <c r="AG37" s="2">
        <v>1</v>
      </c>
      <c r="AH37" s="2">
        <f t="shared" si="50"/>
        <v>-1</v>
      </c>
      <c r="AI37" s="2">
        <f t="shared" si="51"/>
        <v>0</v>
      </c>
      <c r="AJ37" s="2">
        <f t="shared" si="52"/>
        <v>0</v>
      </c>
      <c r="AK37" s="2">
        <f t="shared" si="53"/>
        <v>1</v>
      </c>
      <c r="AL37" s="2" t="str">
        <f t="shared" si="54"/>
        <v>Underestimation</v>
      </c>
      <c r="AM37" s="2">
        <f t="shared" si="55"/>
        <v>0</v>
      </c>
      <c r="AN37" s="2">
        <f t="shared" si="56"/>
        <v>1</v>
      </c>
      <c r="AO37" s="2">
        <f t="shared" si="57"/>
        <v>0</v>
      </c>
      <c r="AP37" s="2">
        <f t="shared" si="58"/>
        <v>0</v>
      </c>
      <c r="AQ37" s="2" t="str">
        <f t="shared" si="59"/>
        <v>Agreement</v>
      </c>
      <c r="AR37" s="3" t="s">
        <v>55</v>
      </c>
      <c r="AS37" s="3" t="s">
        <v>55</v>
      </c>
      <c r="AT37" s="3" t="s">
        <v>55</v>
      </c>
      <c r="AU37" s="3" t="s">
        <v>232</v>
      </c>
      <c r="AV37" s="3" t="s">
        <v>232</v>
      </c>
      <c r="AW37" s="3" t="s">
        <v>233</v>
      </c>
      <c r="AX37" s="3" t="s">
        <v>218</v>
      </c>
      <c r="AY37" s="3" t="s">
        <v>219</v>
      </c>
      <c r="AZ37" s="3" t="s">
        <v>60</v>
      </c>
      <c r="BA37" s="3" t="s">
        <v>220</v>
      </c>
    </row>
    <row r="38" spans="1:53" ht="15" customHeight="1">
      <c r="A38" s="2">
        <v>37</v>
      </c>
      <c r="B38" s="2">
        <v>1533150218</v>
      </c>
      <c r="C38" s="2" t="s">
        <v>65</v>
      </c>
      <c r="D38" s="2" t="s">
        <v>231</v>
      </c>
      <c r="E38" s="2">
        <v>0</v>
      </c>
      <c r="F38" s="2">
        <v>0</v>
      </c>
      <c r="G38" s="2">
        <v>0</v>
      </c>
      <c r="H38" s="2">
        <f t="shared" si="30"/>
        <v>0</v>
      </c>
      <c r="I38" s="2">
        <f t="shared" si="31"/>
        <v>1</v>
      </c>
      <c r="J38" s="2">
        <f t="shared" si="32"/>
        <v>0</v>
      </c>
      <c r="K38" s="2">
        <f t="shared" si="33"/>
        <v>0</v>
      </c>
      <c r="L38" s="2" t="str">
        <f t="shared" si="34"/>
        <v>Agreement</v>
      </c>
      <c r="M38" s="2">
        <f t="shared" si="35"/>
        <v>0</v>
      </c>
      <c r="N38" s="2">
        <f t="shared" si="36"/>
        <v>1</v>
      </c>
      <c r="O38" s="2">
        <f t="shared" si="37"/>
        <v>0</v>
      </c>
      <c r="P38" s="2">
        <f t="shared" si="38"/>
        <v>0</v>
      </c>
      <c r="Q38" s="2" t="str">
        <f t="shared" si="39"/>
        <v>Agreement</v>
      </c>
      <c r="R38" s="2">
        <v>-1</v>
      </c>
      <c r="S38" s="2">
        <v>-1</v>
      </c>
      <c r="T38" s="2">
        <v>-1</v>
      </c>
      <c r="U38" s="2">
        <f t="shared" si="40"/>
        <v>0</v>
      </c>
      <c r="V38" s="2">
        <f t="shared" si="41"/>
        <v>1</v>
      </c>
      <c r="W38" s="2">
        <f t="shared" si="42"/>
        <v>0</v>
      </c>
      <c r="X38" s="2">
        <f t="shared" si="43"/>
        <v>0</v>
      </c>
      <c r="Y38" s="2" t="str">
        <f t="shared" si="44"/>
        <v>Agreement</v>
      </c>
      <c r="Z38" s="2">
        <f t="shared" si="45"/>
        <v>0</v>
      </c>
      <c r="AA38" s="2">
        <f t="shared" si="46"/>
        <v>1</v>
      </c>
      <c r="AB38" s="2">
        <f t="shared" si="47"/>
        <v>0</v>
      </c>
      <c r="AC38" s="2">
        <f t="shared" si="48"/>
        <v>0</v>
      </c>
      <c r="AD38" s="2" t="str">
        <f t="shared" si="49"/>
        <v>Agreement</v>
      </c>
      <c r="AE38" s="2">
        <v>0</v>
      </c>
      <c r="AF38" s="2">
        <v>1</v>
      </c>
      <c r="AG38" s="2">
        <v>1</v>
      </c>
      <c r="AH38" s="2">
        <f t="shared" si="50"/>
        <v>-1</v>
      </c>
      <c r="AI38" s="2">
        <f t="shared" si="51"/>
        <v>0</v>
      </c>
      <c r="AJ38" s="2">
        <f t="shared" si="52"/>
        <v>0</v>
      </c>
      <c r="AK38" s="2">
        <f t="shared" si="53"/>
        <v>1</v>
      </c>
      <c r="AL38" s="2" t="str">
        <f t="shared" si="54"/>
        <v>Underestimation</v>
      </c>
      <c r="AM38" s="2">
        <f t="shared" si="55"/>
        <v>0</v>
      </c>
      <c r="AN38" s="2">
        <f t="shared" si="56"/>
        <v>1</v>
      </c>
      <c r="AO38" s="2">
        <f t="shared" si="57"/>
        <v>0</v>
      </c>
      <c r="AP38" s="2">
        <f t="shared" si="58"/>
        <v>0</v>
      </c>
      <c r="AQ38" s="2" t="str">
        <f t="shared" si="59"/>
        <v>Agreement</v>
      </c>
      <c r="AR38" s="3" t="s">
        <v>55</v>
      </c>
      <c r="AS38" s="3" t="s">
        <v>55</v>
      </c>
      <c r="AT38" s="3" t="s">
        <v>55</v>
      </c>
      <c r="AU38" s="3" t="s">
        <v>234</v>
      </c>
      <c r="AV38" s="3" t="s">
        <v>234</v>
      </c>
      <c r="AW38" s="3" t="s">
        <v>222</v>
      </c>
      <c r="AX38" s="3" t="s">
        <v>223</v>
      </c>
      <c r="AY38" s="3" t="s">
        <v>70</v>
      </c>
      <c r="AZ38" s="3" t="s">
        <v>60</v>
      </c>
      <c r="BA38" s="3" t="s">
        <v>220</v>
      </c>
    </row>
    <row r="39" spans="1:53" ht="15" customHeight="1">
      <c r="A39" s="2">
        <v>38</v>
      </c>
      <c r="B39" s="2">
        <v>1533150218</v>
      </c>
      <c r="C39" s="2" t="s">
        <v>227</v>
      </c>
      <c r="D39" s="2" t="s">
        <v>231</v>
      </c>
      <c r="E39" s="2">
        <v>0</v>
      </c>
      <c r="F39" s="2">
        <v>0</v>
      </c>
      <c r="G39" s="2">
        <v>0</v>
      </c>
      <c r="H39" s="2">
        <f t="shared" si="30"/>
        <v>0</v>
      </c>
      <c r="I39" s="2">
        <f t="shared" si="31"/>
        <v>1</v>
      </c>
      <c r="J39" s="2">
        <f t="shared" si="32"/>
        <v>0</v>
      </c>
      <c r="K39" s="2">
        <f t="shared" si="33"/>
        <v>0</v>
      </c>
      <c r="L39" s="2" t="str">
        <f t="shared" si="34"/>
        <v>Agreement</v>
      </c>
      <c r="M39" s="2">
        <f t="shared" si="35"/>
        <v>0</v>
      </c>
      <c r="N39" s="2">
        <f t="shared" si="36"/>
        <v>1</v>
      </c>
      <c r="O39" s="2">
        <f t="shared" si="37"/>
        <v>0</v>
      </c>
      <c r="P39" s="2">
        <f t="shared" si="38"/>
        <v>0</v>
      </c>
      <c r="Q39" s="2" t="str">
        <f t="shared" si="39"/>
        <v>Agreement</v>
      </c>
      <c r="R39" s="2">
        <v>-1</v>
      </c>
      <c r="S39" s="2">
        <v>-1</v>
      </c>
      <c r="T39" s="2">
        <v>-1</v>
      </c>
      <c r="U39" s="2">
        <f t="shared" si="40"/>
        <v>0</v>
      </c>
      <c r="V39" s="2">
        <f t="shared" si="41"/>
        <v>1</v>
      </c>
      <c r="W39" s="2">
        <f t="shared" si="42"/>
        <v>0</v>
      </c>
      <c r="X39" s="2">
        <f t="shared" si="43"/>
        <v>0</v>
      </c>
      <c r="Y39" s="2" t="str">
        <f t="shared" si="44"/>
        <v>Agreement</v>
      </c>
      <c r="Z39" s="2">
        <f t="shared" si="45"/>
        <v>0</v>
      </c>
      <c r="AA39" s="2">
        <f t="shared" si="46"/>
        <v>1</v>
      </c>
      <c r="AB39" s="2">
        <f t="shared" si="47"/>
        <v>0</v>
      </c>
      <c r="AC39" s="2">
        <f t="shared" si="48"/>
        <v>0</v>
      </c>
      <c r="AD39" s="2" t="str">
        <f t="shared" si="49"/>
        <v>Agreement</v>
      </c>
      <c r="AE39" s="2">
        <v>0</v>
      </c>
      <c r="AF39" s="2">
        <v>1</v>
      </c>
      <c r="AG39" s="2">
        <v>1</v>
      </c>
      <c r="AH39" s="2">
        <f t="shared" si="50"/>
        <v>-1</v>
      </c>
      <c r="AI39" s="2">
        <f t="shared" si="51"/>
        <v>0</v>
      </c>
      <c r="AJ39" s="2">
        <f t="shared" si="52"/>
        <v>0</v>
      </c>
      <c r="AK39" s="2">
        <f t="shared" si="53"/>
        <v>1</v>
      </c>
      <c r="AL39" s="2" t="str">
        <f t="shared" si="54"/>
        <v>Underestimation</v>
      </c>
      <c r="AM39" s="2">
        <f t="shared" si="55"/>
        <v>0</v>
      </c>
      <c r="AN39" s="2">
        <f t="shared" si="56"/>
        <v>1</v>
      </c>
      <c r="AO39" s="2">
        <f t="shared" si="57"/>
        <v>0</v>
      </c>
      <c r="AP39" s="2">
        <f t="shared" si="58"/>
        <v>0</v>
      </c>
      <c r="AQ39" s="2" t="str">
        <f t="shared" si="59"/>
        <v>Agreement</v>
      </c>
      <c r="AR39" s="3" t="s">
        <v>55</v>
      </c>
      <c r="AS39" s="3" t="s">
        <v>55</v>
      </c>
      <c r="AT39" s="3" t="s">
        <v>55</v>
      </c>
      <c r="AU39" s="3" t="s">
        <v>235</v>
      </c>
      <c r="AV39" s="3" t="s">
        <v>235</v>
      </c>
      <c r="AW39" s="3" t="s">
        <v>236</v>
      </c>
      <c r="AX39" s="3" t="s">
        <v>229</v>
      </c>
      <c r="AY39" s="3" t="s">
        <v>230</v>
      </c>
      <c r="AZ39" s="3" t="s">
        <v>60</v>
      </c>
      <c r="BA39" s="3" t="s">
        <v>220</v>
      </c>
    </row>
    <row r="40" spans="1:53" ht="15" customHeight="1">
      <c r="A40" s="2">
        <v>39</v>
      </c>
      <c r="B40" s="2">
        <v>1533150218</v>
      </c>
      <c r="C40" s="2" t="s">
        <v>214</v>
      </c>
      <c r="D40" s="2" t="s">
        <v>237</v>
      </c>
      <c r="E40" s="2">
        <v>0</v>
      </c>
      <c r="F40" s="2">
        <v>0</v>
      </c>
      <c r="G40" s="2">
        <v>0</v>
      </c>
      <c r="H40" s="2">
        <f t="shared" si="30"/>
        <v>0</v>
      </c>
      <c r="I40" s="2">
        <f t="shared" si="31"/>
        <v>1</v>
      </c>
      <c r="J40" s="2">
        <f t="shared" si="32"/>
        <v>0</v>
      </c>
      <c r="K40" s="2">
        <f t="shared" si="33"/>
        <v>0</v>
      </c>
      <c r="L40" s="2" t="str">
        <f t="shared" si="34"/>
        <v>Agreement</v>
      </c>
      <c r="M40" s="2">
        <f t="shared" si="35"/>
        <v>0</v>
      </c>
      <c r="N40" s="2">
        <f t="shared" si="36"/>
        <v>1</v>
      </c>
      <c r="O40" s="2">
        <f t="shared" si="37"/>
        <v>0</v>
      </c>
      <c r="P40" s="2">
        <f t="shared" si="38"/>
        <v>0</v>
      </c>
      <c r="Q40" s="2" t="str">
        <f t="shared" si="39"/>
        <v>Agreement</v>
      </c>
      <c r="R40" s="2">
        <v>-1</v>
      </c>
      <c r="S40" s="2">
        <v>-1</v>
      </c>
      <c r="T40" s="2">
        <v>-1</v>
      </c>
      <c r="U40" s="2">
        <f t="shared" si="40"/>
        <v>0</v>
      </c>
      <c r="V40" s="2">
        <f t="shared" si="41"/>
        <v>1</v>
      </c>
      <c r="W40" s="2">
        <f t="shared" si="42"/>
        <v>0</v>
      </c>
      <c r="X40" s="2">
        <f t="shared" si="43"/>
        <v>0</v>
      </c>
      <c r="Y40" s="2" t="str">
        <f t="shared" si="44"/>
        <v>Agreement</v>
      </c>
      <c r="Z40" s="2">
        <f t="shared" si="45"/>
        <v>0</v>
      </c>
      <c r="AA40" s="2">
        <f t="shared" si="46"/>
        <v>1</v>
      </c>
      <c r="AB40" s="2">
        <f t="shared" si="47"/>
        <v>0</v>
      </c>
      <c r="AC40" s="2">
        <f t="shared" si="48"/>
        <v>0</v>
      </c>
      <c r="AD40" s="2" t="str">
        <f t="shared" si="49"/>
        <v>Agreement</v>
      </c>
      <c r="AE40" s="2">
        <v>0</v>
      </c>
      <c r="AF40" s="2">
        <v>1</v>
      </c>
      <c r="AG40" s="2">
        <v>1</v>
      </c>
      <c r="AH40" s="2">
        <f t="shared" si="50"/>
        <v>-1</v>
      </c>
      <c r="AI40" s="2">
        <f t="shared" si="51"/>
        <v>0</v>
      </c>
      <c r="AJ40" s="2">
        <f t="shared" si="52"/>
        <v>0</v>
      </c>
      <c r="AK40" s="2">
        <f t="shared" si="53"/>
        <v>1</v>
      </c>
      <c r="AL40" s="2" t="str">
        <f t="shared" si="54"/>
        <v>Underestimation</v>
      </c>
      <c r="AM40" s="2">
        <f t="shared" si="55"/>
        <v>0</v>
      </c>
      <c r="AN40" s="2">
        <f t="shared" si="56"/>
        <v>1</v>
      </c>
      <c r="AO40" s="2">
        <f t="shared" si="57"/>
        <v>0</v>
      </c>
      <c r="AP40" s="2">
        <f t="shared" si="58"/>
        <v>0</v>
      </c>
      <c r="AQ40" s="2" t="str">
        <f t="shared" si="59"/>
        <v>Agreement</v>
      </c>
      <c r="AR40" s="3" t="s">
        <v>55</v>
      </c>
      <c r="AS40" s="3" t="s">
        <v>55</v>
      </c>
      <c r="AT40" s="3" t="s">
        <v>55</v>
      </c>
      <c r="AU40" s="3" t="s">
        <v>238</v>
      </c>
      <c r="AV40" s="3" t="s">
        <v>238</v>
      </c>
      <c r="AW40" s="3" t="s">
        <v>239</v>
      </c>
      <c r="AX40" s="3" t="s">
        <v>218</v>
      </c>
      <c r="AY40" s="3" t="s">
        <v>219</v>
      </c>
      <c r="AZ40" s="3" t="s">
        <v>60</v>
      </c>
      <c r="BA40" s="3" t="s">
        <v>220</v>
      </c>
    </row>
    <row r="41" spans="1:53" ht="15" customHeight="1">
      <c r="A41" s="2">
        <v>40</v>
      </c>
      <c r="B41" s="2">
        <v>1533150218</v>
      </c>
      <c r="C41" s="2" t="s">
        <v>65</v>
      </c>
      <c r="D41" s="2" t="s">
        <v>237</v>
      </c>
      <c r="E41" s="2">
        <v>0</v>
      </c>
      <c r="F41" s="2">
        <v>0</v>
      </c>
      <c r="G41" s="2">
        <v>0</v>
      </c>
      <c r="H41" s="2">
        <f t="shared" si="30"/>
        <v>0</v>
      </c>
      <c r="I41" s="2">
        <f t="shared" si="31"/>
        <v>1</v>
      </c>
      <c r="J41" s="2">
        <f t="shared" si="32"/>
        <v>0</v>
      </c>
      <c r="K41" s="2">
        <f t="shared" si="33"/>
        <v>0</v>
      </c>
      <c r="L41" s="2" t="str">
        <f t="shared" si="34"/>
        <v>Agreement</v>
      </c>
      <c r="M41" s="2">
        <f t="shared" si="35"/>
        <v>0</v>
      </c>
      <c r="N41" s="2">
        <f t="shared" si="36"/>
        <v>1</v>
      </c>
      <c r="O41" s="2">
        <f t="shared" si="37"/>
        <v>0</v>
      </c>
      <c r="P41" s="2">
        <f t="shared" si="38"/>
        <v>0</v>
      </c>
      <c r="Q41" s="2" t="str">
        <f t="shared" si="39"/>
        <v>Agreement</v>
      </c>
      <c r="R41" s="2">
        <v>-1</v>
      </c>
      <c r="S41" s="2">
        <v>-1</v>
      </c>
      <c r="T41" s="2">
        <v>-1</v>
      </c>
      <c r="U41" s="2">
        <f t="shared" si="40"/>
        <v>0</v>
      </c>
      <c r="V41" s="2">
        <f t="shared" si="41"/>
        <v>1</v>
      </c>
      <c r="W41" s="2">
        <f t="shared" si="42"/>
        <v>0</v>
      </c>
      <c r="X41" s="2">
        <f t="shared" si="43"/>
        <v>0</v>
      </c>
      <c r="Y41" s="2" t="str">
        <f t="shared" si="44"/>
        <v>Agreement</v>
      </c>
      <c r="Z41" s="2">
        <f t="shared" si="45"/>
        <v>0</v>
      </c>
      <c r="AA41" s="2">
        <f t="shared" si="46"/>
        <v>1</v>
      </c>
      <c r="AB41" s="2">
        <f t="shared" si="47"/>
        <v>0</v>
      </c>
      <c r="AC41" s="2">
        <f t="shared" si="48"/>
        <v>0</v>
      </c>
      <c r="AD41" s="2" t="str">
        <f t="shared" si="49"/>
        <v>Agreement</v>
      </c>
      <c r="AE41" s="2">
        <v>0</v>
      </c>
      <c r="AF41" s="2">
        <v>1</v>
      </c>
      <c r="AG41" s="2">
        <v>1</v>
      </c>
      <c r="AH41" s="2">
        <f t="shared" si="50"/>
        <v>-1</v>
      </c>
      <c r="AI41" s="2">
        <f t="shared" si="51"/>
        <v>0</v>
      </c>
      <c r="AJ41" s="2">
        <f t="shared" si="52"/>
        <v>0</v>
      </c>
      <c r="AK41" s="2">
        <f t="shared" si="53"/>
        <v>1</v>
      </c>
      <c r="AL41" s="2" t="str">
        <f t="shared" si="54"/>
        <v>Underestimation</v>
      </c>
      <c r="AM41" s="2">
        <f t="shared" si="55"/>
        <v>0</v>
      </c>
      <c r="AN41" s="2">
        <f t="shared" si="56"/>
        <v>1</v>
      </c>
      <c r="AO41" s="2">
        <f t="shared" si="57"/>
        <v>0</v>
      </c>
      <c r="AP41" s="2">
        <f t="shared" si="58"/>
        <v>0</v>
      </c>
      <c r="AQ41" s="2" t="str">
        <f t="shared" si="59"/>
        <v>Agreement</v>
      </c>
      <c r="AR41" s="3" t="s">
        <v>55</v>
      </c>
      <c r="AS41" s="3" t="s">
        <v>55</v>
      </c>
      <c r="AT41" s="3" t="s">
        <v>55</v>
      </c>
      <c r="AU41" s="3" t="s">
        <v>240</v>
      </c>
      <c r="AV41" s="3" t="s">
        <v>240</v>
      </c>
      <c r="AW41" s="3" t="s">
        <v>222</v>
      </c>
      <c r="AX41" s="3" t="s">
        <v>223</v>
      </c>
      <c r="AY41" s="3" t="s">
        <v>70</v>
      </c>
      <c r="AZ41" s="3" t="s">
        <v>60</v>
      </c>
      <c r="BA41" s="3" t="s">
        <v>220</v>
      </c>
    </row>
    <row r="42" spans="1:53" ht="15" customHeight="1">
      <c r="A42" s="2">
        <v>41</v>
      </c>
      <c r="B42" s="2">
        <v>1533150218</v>
      </c>
      <c r="C42" s="2" t="s">
        <v>227</v>
      </c>
      <c r="D42" s="2" t="s">
        <v>237</v>
      </c>
      <c r="E42" s="2">
        <v>0</v>
      </c>
      <c r="F42" s="2">
        <v>0</v>
      </c>
      <c r="G42" s="2">
        <v>0</v>
      </c>
      <c r="H42" s="2">
        <f t="shared" si="30"/>
        <v>0</v>
      </c>
      <c r="I42" s="2">
        <f t="shared" si="31"/>
        <v>1</v>
      </c>
      <c r="J42" s="2">
        <f t="shared" si="32"/>
        <v>0</v>
      </c>
      <c r="K42" s="2">
        <f t="shared" si="33"/>
        <v>0</v>
      </c>
      <c r="L42" s="2" t="str">
        <f t="shared" si="34"/>
        <v>Agreement</v>
      </c>
      <c r="M42" s="2">
        <f t="shared" si="35"/>
        <v>0</v>
      </c>
      <c r="N42" s="2">
        <f t="shared" si="36"/>
        <v>1</v>
      </c>
      <c r="O42" s="2">
        <f t="shared" si="37"/>
        <v>0</v>
      </c>
      <c r="P42" s="2">
        <f t="shared" si="38"/>
        <v>0</v>
      </c>
      <c r="Q42" s="2" t="str">
        <f t="shared" si="39"/>
        <v>Agreement</v>
      </c>
      <c r="R42" s="2">
        <v>-1</v>
      </c>
      <c r="S42" s="2">
        <v>-1</v>
      </c>
      <c r="T42" s="2">
        <v>-1</v>
      </c>
      <c r="U42" s="2">
        <f t="shared" si="40"/>
        <v>0</v>
      </c>
      <c r="V42" s="2">
        <f t="shared" si="41"/>
        <v>1</v>
      </c>
      <c r="W42" s="2">
        <f t="shared" si="42"/>
        <v>0</v>
      </c>
      <c r="X42" s="2">
        <f t="shared" si="43"/>
        <v>0</v>
      </c>
      <c r="Y42" s="2" t="str">
        <f t="shared" si="44"/>
        <v>Agreement</v>
      </c>
      <c r="Z42" s="2">
        <f t="shared" si="45"/>
        <v>0</v>
      </c>
      <c r="AA42" s="2">
        <f t="shared" si="46"/>
        <v>1</v>
      </c>
      <c r="AB42" s="2">
        <f t="shared" si="47"/>
        <v>0</v>
      </c>
      <c r="AC42" s="2">
        <f t="shared" si="48"/>
        <v>0</v>
      </c>
      <c r="AD42" s="2" t="str">
        <f t="shared" si="49"/>
        <v>Agreement</v>
      </c>
      <c r="AE42" s="2">
        <v>0</v>
      </c>
      <c r="AF42" s="2">
        <v>1</v>
      </c>
      <c r="AG42" s="2">
        <v>1</v>
      </c>
      <c r="AH42" s="2">
        <f t="shared" si="50"/>
        <v>-1</v>
      </c>
      <c r="AI42" s="2">
        <f t="shared" si="51"/>
        <v>0</v>
      </c>
      <c r="AJ42" s="2">
        <f t="shared" si="52"/>
        <v>0</v>
      </c>
      <c r="AK42" s="2">
        <f t="shared" si="53"/>
        <v>1</v>
      </c>
      <c r="AL42" s="2" t="str">
        <f t="shared" si="54"/>
        <v>Underestimation</v>
      </c>
      <c r="AM42" s="2">
        <f t="shared" si="55"/>
        <v>0</v>
      </c>
      <c r="AN42" s="2">
        <f t="shared" si="56"/>
        <v>1</v>
      </c>
      <c r="AO42" s="2">
        <f t="shared" si="57"/>
        <v>0</v>
      </c>
      <c r="AP42" s="2">
        <f t="shared" si="58"/>
        <v>0</v>
      </c>
      <c r="AQ42" s="2" t="str">
        <f t="shared" si="59"/>
        <v>Agreement</v>
      </c>
      <c r="AR42" s="3" t="s">
        <v>55</v>
      </c>
      <c r="AS42" s="3" t="s">
        <v>55</v>
      </c>
      <c r="AT42" s="3" t="s">
        <v>55</v>
      </c>
      <c r="AU42" s="3" t="s">
        <v>241</v>
      </c>
      <c r="AV42" s="3" t="s">
        <v>241</v>
      </c>
      <c r="AW42" s="3" t="s">
        <v>239</v>
      </c>
      <c r="AX42" s="3" t="s">
        <v>229</v>
      </c>
      <c r="AY42" s="3" t="s">
        <v>230</v>
      </c>
      <c r="AZ42" s="3" t="s">
        <v>60</v>
      </c>
      <c r="BA42" s="3" t="s">
        <v>220</v>
      </c>
    </row>
    <row r="43" spans="1:53" ht="15" customHeight="1">
      <c r="A43" s="2">
        <v>42</v>
      </c>
      <c r="B43" s="2">
        <v>1533150218</v>
      </c>
      <c r="C43" s="2" t="s">
        <v>214</v>
      </c>
      <c r="D43" s="2" t="s">
        <v>242</v>
      </c>
      <c r="E43" s="2">
        <v>0</v>
      </c>
      <c r="F43" s="2">
        <v>0</v>
      </c>
      <c r="G43" s="2">
        <v>0</v>
      </c>
      <c r="H43" s="2">
        <f t="shared" si="30"/>
        <v>0</v>
      </c>
      <c r="I43" s="2">
        <f t="shared" si="31"/>
        <v>1</v>
      </c>
      <c r="J43" s="2">
        <f t="shared" si="32"/>
        <v>0</v>
      </c>
      <c r="K43" s="2">
        <f t="shared" si="33"/>
        <v>0</v>
      </c>
      <c r="L43" s="2" t="str">
        <f t="shared" si="34"/>
        <v>Agreement</v>
      </c>
      <c r="M43" s="2">
        <f t="shared" si="35"/>
        <v>0</v>
      </c>
      <c r="N43" s="2">
        <f t="shared" si="36"/>
        <v>1</v>
      </c>
      <c r="O43" s="2">
        <f t="shared" si="37"/>
        <v>0</v>
      </c>
      <c r="P43" s="2">
        <f t="shared" si="38"/>
        <v>0</v>
      </c>
      <c r="Q43" s="2" t="str">
        <f t="shared" si="39"/>
        <v>Agreement</v>
      </c>
      <c r="R43" s="2">
        <v>-1</v>
      </c>
      <c r="S43" s="2">
        <v>-1</v>
      </c>
      <c r="T43" s="2">
        <v>-1</v>
      </c>
      <c r="U43" s="2">
        <f t="shared" si="40"/>
        <v>0</v>
      </c>
      <c r="V43" s="2">
        <f t="shared" si="41"/>
        <v>1</v>
      </c>
      <c r="W43" s="2">
        <f t="shared" si="42"/>
        <v>0</v>
      </c>
      <c r="X43" s="2">
        <f t="shared" si="43"/>
        <v>0</v>
      </c>
      <c r="Y43" s="2" t="str">
        <f t="shared" si="44"/>
        <v>Agreement</v>
      </c>
      <c r="Z43" s="2">
        <f t="shared" si="45"/>
        <v>0</v>
      </c>
      <c r="AA43" s="2">
        <f t="shared" si="46"/>
        <v>1</v>
      </c>
      <c r="AB43" s="2">
        <f t="shared" si="47"/>
        <v>0</v>
      </c>
      <c r="AC43" s="2">
        <f t="shared" si="48"/>
        <v>0</v>
      </c>
      <c r="AD43" s="2" t="str">
        <f t="shared" si="49"/>
        <v>Agreement</v>
      </c>
      <c r="AE43" s="2">
        <v>0</v>
      </c>
      <c r="AF43" s="2">
        <v>1</v>
      </c>
      <c r="AG43" s="2">
        <v>1</v>
      </c>
      <c r="AH43" s="2">
        <f t="shared" si="50"/>
        <v>-1</v>
      </c>
      <c r="AI43" s="2">
        <f t="shared" si="51"/>
        <v>0</v>
      </c>
      <c r="AJ43" s="2">
        <f t="shared" si="52"/>
        <v>0</v>
      </c>
      <c r="AK43" s="2">
        <f t="shared" si="53"/>
        <v>1</v>
      </c>
      <c r="AL43" s="2" t="str">
        <f t="shared" si="54"/>
        <v>Underestimation</v>
      </c>
      <c r="AM43" s="2">
        <f t="shared" si="55"/>
        <v>0</v>
      </c>
      <c r="AN43" s="2">
        <f t="shared" si="56"/>
        <v>1</v>
      </c>
      <c r="AO43" s="2">
        <f t="shared" si="57"/>
        <v>0</v>
      </c>
      <c r="AP43" s="2">
        <f t="shared" si="58"/>
        <v>0</v>
      </c>
      <c r="AQ43" s="2" t="str">
        <f t="shared" si="59"/>
        <v>Agreement</v>
      </c>
      <c r="AR43" s="3" t="s">
        <v>55</v>
      </c>
      <c r="AS43" s="3" t="s">
        <v>55</v>
      </c>
      <c r="AT43" s="3" t="s">
        <v>55</v>
      </c>
      <c r="AU43" s="3" t="s">
        <v>243</v>
      </c>
      <c r="AV43" s="3" t="s">
        <v>243</v>
      </c>
      <c r="AW43" s="3" t="s">
        <v>217</v>
      </c>
      <c r="AX43" s="3" t="s">
        <v>218</v>
      </c>
      <c r="AY43" s="3" t="s">
        <v>219</v>
      </c>
      <c r="AZ43" s="3" t="s">
        <v>60</v>
      </c>
      <c r="BA43" s="3" t="s">
        <v>220</v>
      </c>
    </row>
    <row r="44" spans="1:53" ht="15" customHeight="1">
      <c r="A44" s="2">
        <v>43</v>
      </c>
      <c r="B44" s="2">
        <v>1533150218</v>
      </c>
      <c r="C44" s="2" t="s">
        <v>65</v>
      </c>
      <c r="D44" s="2" t="s">
        <v>242</v>
      </c>
      <c r="E44" s="2">
        <v>0</v>
      </c>
      <c r="F44" s="2">
        <v>0</v>
      </c>
      <c r="G44" s="2">
        <v>0</v>
      </c>
      <c r="H44" s="2">
        <f t="shared" si="30"/>
        <v>0</v>
      </c>
      <c r="I44" s="2">
        <f t="shared" si="31"/>
        <v>1</v>
      </c>
      <c r="J44" s="2">
        <f t="shared" si="32"/>
        <v>0</v>
      </c>
      <c r="K44" s="2">
        <f t="shared" si="33"/>
        <v>0</v>
      </c>
      <c r="L44" s="2" t="str">
        <f t="shared" si="34"/>
        <v>Agreement</v>
      </c>
      <c r="M44" s="2">
        <f t="shared" si="35"/>
        <v>0</v>
      </c>
      <c r="N44" s="2">
        <f t="shared" si="36"/>
        <v>1</v>
      </c>
      <c r="O44" s="2">
        <f t="shared" si="37"/>
        <v>0</v>
      </c>
      <c r="P44" s="2">
        <f t="shared" si="38"/>
        <v>0</v>
      </c>
      <c r="Q44" s="2" t="str">
        <f t="shared" si="39"/>
        <v>Agreement</v>
      </c>
      <c r="R44" s="2">
        <v>-1</v>
      </c>
      <c r="S44" s="2">
        <v>-1</v>
      </c>
      <c r="T44" s="2">
        <v>-1</v>
      </c>
      <c r="U44" s="2">
        <f t="shared" si="40"/>
        <v>0</v>
      </c>
      <c r="V44" s="2">
        <f t="shared" si="41"/>
        <v>1</v>
      </c>
      <c r="W44" s="2">
        <f t="shared" si="42"/>
        <v>0</v>
      </c>
      <c r="X44" s="2">
        <f t="shared" si="43"/>
        <v>0</v>
      </c>
      <c r="Y44" s="2" t="str">
        <f t="shared" si="44"/>
        <v>Agreement</v>
      </c>
      <c r="Z44" s="2">
        <f t="shared" si="45"/>
        <v>0</v>
      </c>
      <c r="AA44" s="2">
        <f t="shared" si="46"/>
        <v>1</v>
      </c>
      <c r="AB44" s="2">
        <f t="shared" si="47"/>
        <v>0</v>
      </c>
      <c r="AC44" s="2">
        <f t="shared" si="48"/>
        <v>0</v>
      </c>
      <c r="AD44" s="2" t="str">
        <f t="shared" si="49"/>
        <v>Agreement</v>
      </c>
      <c r="AE44" s="2">
        <v>0</v>
      </c>
      <c r="AF44" s="2">
        <v>1</v>
      </c>
      <c r="AG44" s="2">
        <v>1</v>
      </c>
      <c r="AH44" s="2">
        <f t="shared" si="50"/>
        <v>-1</v>
      </c>
      <c r="AI44" s="2">
        <f t="shared" si="51"/>
        <v>0</v>
      </c>
      <c r="AJ44" s="2">
        <f t="shared" si="52"/>
        <v>0</v>
      </c>
      <c r="AK44" s="2">
        <f t="shared" si="53"/>
        <v>1</v>
      </c>
      <c r="AL44" s="2" t="str">
        <f t="shared" si="54"/>
        <v>Underestimation</v>
      </c>
      <c r="AM44" s="2">
        <f t="shared" si="55"/>
        <v>0</v>
      </c>
      <c r="AN44" s="2">
        <f t="shared" si="56"/>
        <v>1</v>
      </c>
      <c r="AO44" s="2">
        <f t="shared" si="57"/>
        <v>0</v>
      </c>
      <c r="AP44" s="2">
        <f t="shared" si="58"/>
        <v>0</v>
      </c>
      <c r="AQ44" s="2" t="str">
        <f t="shared" si="59"/>
        <v>Agreement</v>
      </c>
      <c r="AR44" s="3" t="s">
        <v>55</v>
      </c>
      <c r="AS44" s="3" t="s">
        <v>55</v>
      </c>
      <c r="AT44" s="3" t="s">
        <v>55</v>
      </c>
      <c r="AU44" s="3" t="s">
        <v>244</v>
      </c>
      <c r="AV44" s="3" t="s">
        <v>244</v>
      </c>
      <c r="AW44" s="3" t="s">
        <v>222</v>
      </c>
      <c r="AX44" s="3" t="s">
        <v>223</v>
      </c>
      <c r="AY44" s="3" t="s">
        <v>70</v>
      </c>
      <c r="AZ44" s="3" t="s">
        <v>60</v>
      </c>
      <c r="BA44" s="3" t="s">
        <v>220</v>
      </c>
    </row>
    <row r="45" spans="1:53" ht="15" customHeight="1">
      <c r="A45" s="2">
        <v>44</v>
      </c>
      <c r="B45" s="2">
        <v>1533150218</v>
      </c>
      <c r="C45" s="2" t="s">
        <v>227</v>
      </c>
      <c r="D45" s="2" t="s">
        <v>242</v>
      </c>
      <c r="E45" s="2">
        <v>0</v>
      </c>
      <c r="F45" s="2">
        <v>0</v>
      </c>
      <c r="G45" s="2">
        <v>0</v>
      </c>
      <c r="H45" s="2">
        <f t="shared" si="30"/>
        <v>0</v>
      </c>
      <c r="I45" s="2">
        <f t="shared" si="31"/>
        <v>1</v>
      </c>
      <c r="J45" s="2">
        <f t="shared" si="32"/>
        <v>0</v>
      </c>
      <c r="K45" s="2">
        <f t="shared" si="33"/>
        <v>0</v>
      </c>
      <c r="L45" s="2" t="str">
        <f t="shared" si="34"/>
        <v>Agreement</v>
      </c>
      <c r="M45" s="2">
        <f t="shared" si="35"/>
        <v>0</v>
      </c>
      <c r="N45" s="2">
        <f t="shared" si="36"/>
        <v>1</v>
      </c>
      <c r="O45" s="2">
        <f t="shared" si="37"/>
        <v>0</v>
      </c>
      <c r="P45" s="2">
        <f t="shared" si="38"/>
        <v>0</v>
      </c>
      <c r="Q45" s="2" t="str">
        <f t="shared" si="39"/>
        <v>Agreement</v>
      </c>
      <c r="R45" s="2">
        <v>-1</v>
      </c>
      <c r="S45" s="2">
        <v>-1</v>
      </c>
      <c r="T45" s="2">
        <v>-1</v>
      </c>
      <c r="U45" s="2">
        <f t="shared" si="40"/>
        <v>0</v>
      </c>
      <c r="V45" s="2">
        <f t="shared" si="41"/>
        <v>1</v>
      </c>
      <c r="W45" s="2">
        <f t="shared" si="42"/>
        <v>0</v>
      </c>
      <c r="X45" s="2">
        <f t="shared" si="43"/>
        <v>0</v>
      </c>
      <c r="Y45" s="2" t="str">
        <f t="shared" si="44"/>
        <v>Agreement</v>
      </c>
      <c r="Z45" s="2">
        <f t="shared" si="45"/>
        <v>0</v>
      </c>
      <c r="AA45" s="2">
        <f t="shared" si="46"/>
        <v>1</v>
      </c>
      <c r="AB45" s="2">
        <f t="shared" si="47"/>
        <v>0</v>
      </c>
      <c r="AC45" s="2">
        <f t="shared" si="48"/>
        <v>0</v>
      </c>
      <c r="AD45" s="2" t="str">
        <f t="shared" si="49"/>
        <v>Agreement</v>
      </c>
      <c r="AE45" s="2">
        <v>0</v>
      </c>
      <c r="AF45" s="2">
        <v>1</v>
      </c>
      <c r="AG45" s="2">
        <v>1</v>
      </c>
      <c r="AH45" s="2">
        <f t="shared" si="50"/>
        <v>-1</v>
      </c>
      <c r="AI45" s="2">
        <f t="shared" si="51"/>
        <v>0</v>
      </c>
      <c r="AJ45" s="2">
        <f t="shared" si="52"/>
        <v>0</v>
      </c>
      <c r="AK45" s="2">
        <f t="shared" si="53"/>
        <v>1</v>
      </c>
      <c r="AL45" s="2" t="str">
        <f t="shared" si="54"/>
        <v>Underestimation</v>
      </c>
      <c r="AM45" s="2">
        <f t="shared" si="55"/>
        <v>0</v>
      </c>
      <c r="AN45" s="2">
        <f t="shared" si="56"/>
        <v>1</v>
      </c>
      <c r="AO45" s="2">
        <f t="shared" si="57"/>
        <v>0</v>
      </c>
      <c r="AP45" s="2">
        <f t="shared" si="58"/>
        <v>0</v>
      </c>
      <c r="AQ45" s="2" t="str">
        <f t="shared" si="59"/>
        <v>Agreement</v>
      </c>
      <c r="AR45" s="3" t="s">
        <v>55</v>
      </c>
      <c r="AS45" s="3" t="s">
        <v>55</v>
      </c>
      <c r="AT45" s="3" t="s">
        <v>55</v>
      </c>
      <c r="AU45" s="3" t="s">
        <v>245</v>
      </c>
      <c r="AV45" s="3" t="s">
        <v>245</v>
      </c>
      <c r="AW45" s="3" t="s">
        <v>217</v>
      </c>
      <c r="AX45" s="3" t="s">
        <v>229</v>
      </c>
      <c r="AY45" s="3" t="s">
        <v>230</v>
      </c>
      <c r="AZ45" s="3" t="s">
        <v>60</v>
      </c>
      <c r="BA45" s="3" t="s">
        <v>220</v>
      </c>
    </row>
    <row r="46" spans="1:53" ht="15" customHeight="1">
      <c r="A46" s="2">
        <v>45</v>
      </c>
      <c r="B46" s="2">
        <v>1533150218</v>
      </c>
      <c r="C46" s="2" t="s">
        <v>214</v>
      </c>
      <c r="D46" s="2" t="s">
        <v>246</v>
      </c>
      <c r="E46" s="2">
        <v>0</v>
      </c>
      <c r="F46" s="2">
        <v>0</v>
      </c>
      <c r="G46" s="2">
        <v>0</v>
      </c>
      <c r="H46" s="2">
        <f t="shared" si="30"/>
        <v>0</v>
      </c>
      <c r="I46" s="2">
        <f t="shared" si="31"/>
        <v>1</v>
      </c>
      <c r="J46" s="2">
        <f t="shared" si="32"/>
        <v>0</v>
      </c>
      <c r="K46" s="2">
        <f t="shared" si="33"/>
        <v>0</v>
      </c>
      <c r="L46" s="2" t="str">
        <f t="shared" si="34"/>
        <v>Agreement</v>
      </c>
      <c r="M46" s="2">
        <f t="shared" si="35"/>
        <v>0</v>
      </c>
      <c r="N46" s="2">
        <f t="shared" si="36"/>
        <v>1</v>
      </c>
      <c r="O46" s="2">
        <f t="shared" si="37"/>
        <v>0</v>
      </c>
      <c r="P46" s="2">
        <f t="shared" si="38"/>
        <v>0</v>
      </c>
      <c r="Q46" s="2" t="str">
        <f t="shared" si="39"/>
        <v>Agreement</v>
      </c>
      <c r="R46" s="2">
        <v>-1</v>
      </c>
      <c r="S46" s="2">
        <v>-1</v>
      </c>
      <c r="T46" s="2">
        <v>-1</v>
      </c>
      <c r="U46" s="2">
        <f t="shared" si="40"/>
        <v>0</v>
      </c>
      <c r="V46" s="2">
        <f t="shared" si="41"/>
        <v>1</v>
      </c>
      <c r="W46" s="2">
        <f t="shared" si="42"/>
        <v>0</v>
      </c>
      <c r="X46" s="2">
        <f t="shared" si="43"/>
        <v>0</v>
      </c>
      <c r="Y46" s="2" t="str">
        <f t="shared" si="44"/>
        <v>Agreement</v>
      </c>
      <c r="Z46" s="2">
        <f t="shared" si="45"/>
        <v>0</v>
      </c>
      <c r="AA46" s="2">
        <f t="shared" si="46"/>
        <v>1</v>
      </c>
      <c r="AB46" s="2">
        <f t="shared" si="47"/>
        <v>0</v>
      </c>
      <c r="AC46" s="2">
        <f t="shared" si="48"/>
        <v>0</v>
      </c>
      <c r="AD46" s="2" t="str">
        <f t="shared" si="49"/>
        <v>Agreement</v>
      </c>
      <c r="AE46" s="2">
        <v>0</v>
      </c>
      <c r="AF46" s="2">
        <v>1</v>
      </c>
      <c r="AG46" s="2">
        <v>1</v>
      </c>
      <c r="AH46" s="2">
        <f t="shared" si="50"/>
        <v>-1</v>
      </c>
      <c r="AI46" s="2">
        <f t="shared" si="51"/>
        <v>0</v>
      </c>
      <c r="AJ46" s="2">
        <f t="shared" si="52"/>
        <v>0</v>
      </c>
      <c r="AK46" s="2">
        <f t="shared" si="53"/>
        <v>1</v>
      </c>
      <c r="AL46" s="2" t="str">
        <f t="shared" si="54"/>
        <v>Underestimation</v>
      </c>
      <c r="AM46" s="2">
        <f t="shared" si="55"/>
        <v>0</v>
      </c>
      <c r="AN46" s="2">
        <f t="shared" si="56"/>
        <v>1</v>
      </c>
      <c r="AO46" s="2">
        <f t="shared" si="57"/>
        <v>0</v>
      </c>
      <c r="AP46" s="2">
        <f t="shared" si="58"/>
        <v>0</v>
      </c>
      <c r="AQ46" s="2" t="str">
        <f t="shared" si="59"/>
        <v>Agreement</v>
      </c>
      <c r="AR46" s="3" t="s">
        <v>55</v>
      </c>
      <c r="AS46" s="3" t="s">
        <v>55</v>
      </c>
      <c r="AT46" s="3" t="s">
        <v>55</v>
      </c>
      <c r="AU46" s="3" t="s">
        <v>247</v>
      </c>
      <c r="AV46" s="3" t="s">
        <v>247</v>
      </c>
      <c r="AW46" s="3" t="s">
        <v>217</v>
      </c>
      <c r="AX46" s="3" t="s">
        <v>218</v>
      </c>
      <c r="AY46" s="3" t="s">
        <v>219</v>
      </c>
      <c r="AZ46" s="3" t="s">
        <v>60</v>
      </c>
      <c r="BA46" s="3" t="s">
        <v>220</v>
      </c>
    </row>
    <row r="47" spans="1:53" ht="15" customHeight="1">
      <c r="A47" s="2">
        <v>46</v>
      </c>
      <c r="B47" s="2">
        <v>1533150218</v>
      </c>
      <c r="C47" s="2" t="s">
        <v>65</v>
      </c>
      <c r="D47" s="2" t="s">
        <v>246</v>
      </c>
      <c r="E47" s="2">
        <v>0</v>
      </c>
      <c r="F47" s="2">
        <v>0</v>
      </c>
      <c r="G47" s="2">
        <v>0</v>
      </c>
      <c r="H47" s="2">
        <f t="shared" si="30"/>
        <v>0</v>
      </c>
      <c r="I47" s="2">
        <f t="shared" si="31"/>
        <v>1</v>
      </c>
      <c r="J47" s="2">
        <f t="shared" si="32"/>
        <v>0</v>
      </c>
      <c r="K47" s="2">
        <f t="shared" si="33"/>
        <v>0</v>
      </c>
      <c r="L47" s="2" t="str">
        <f t="shared" si="34"/>
        <v>Agreement</v>
      </c>
      <c r="M47" s="2">
        <f t="shared" si="35"/>
        <v>0</v>
      </c>
      <c r="N47" s="2">
        <f t="shared" si="36"/>
        <v>1</v>
      </c>
      <c r="O47" s="2">
        <f t="shared" si="37"/>
        <v>0</v>
      </c>
      <c r="P47" s="2">
        <f t="shared" si="38"/>
        <v>0</v>
      </c>
      <c r="Q47" s="2" t="str">
        <f t="shared" si="39"/>
        <v>Agreement</v>
      </c>
      <c r="R47" s="2">
        <v>-1</v>
      </c>
      <c r="S47" s="2">
        <v>-1</v>
      </c>
      <c r="T47" s="2">
        <v>-1</v>
      </c>
      <c r="U47" s="2">
        <f t="shared" si="40"/>
        <v>0</v>
      </c>
      <c r="V47" s="2">
        <f t="shared" si="41"/>
        <v>1</v>
      </c>
      <c r="W47" s="2">
        <f t="shared" si="42"/>
        <v>0</v>
      </c>
      <c r="X47" s="2">
        <f t="shared" si="43"/>
        <v>0</v>
      </c>
      <c r="Y47" s="2" t="str">
        <f t="shared" si="44"/>
        <v>Agreement</v>
      </c>
      <c r="Z47" s="2">
        <f t="shared" si="45"/>
        <v>0</v>
      </c>
      <c r="AA47" s="2">
        <f t="shared" si="46"/>
        <v>1</v>
      </c>
      <c r="AB47" s="2">
        <f t="shared" si="47"/>
        <v>0</v>
      </c>
      <c r="AC47" s="2">
        <f t="shared" si="48"/>
        <v>0</v>
      </c>
      <c r="AD47" s="2" t="str">
        <f t="shared" si="49"/>
        <v>Agreement</v>
      </c>
      <c r="AE47" s="2">
        <v>0</v>
      </c>
      <c r="AF47" s="2">
        <v>1</v>
      </c>
      <c r="AG47" s="2">
        <v>1</v>
      </c>
      <c r="AH47" s="2">
        <f t="shared" si="50"/>
        <v>-1</v>
      </c>
      <c r="AI47" s="2">
        <f t="shared" si="51"/>
        <v>0</v>
      </c>
      <c r="AJ47" s="2">
        <f t="shared" si="52"/>
        <v>0</v>
      </c>
      <c r="AK47" s="2">
        <f t="shared" si="53"/>
        <v>1</v>
      </c>
      <c r="AL47" s="2" t="str">
        <f t="shared" si="54"/>
        <v>Underestimation</v>
      </c>
      <c r="AM47" s="2">
        <f t="shared" si="55"/>
        <v>0</v>
      </c>
      <c r="AN47" s="2">
        <f t="shared" si="56"/>
        <v>1</v>
      </c>
      <c r="AO47" s="2">
        <f t="shared" si="57"/>
        <v>0</v>
      </c>
      <c r="AP47" s="2">
        <f t="shared" si="58"/>
        <v>0</v>
      </c>
      <c r="AQ47" s="2" t="str">
        <f t="shared" si="59"/>
        <v>Agreement</v>
      </c>
      <c r="AR47" s="3" t="s">
        <v>55</v>
      </c>
      <c r="AS47" s="3" t="s">
        <v>55</v>
      </c>
      <c r="AT47" s="3" t="s">
        <v>55</v>
      </c>
      <c r="AU47" s="3" t="s">
        <v>248</v>
      </c>
      <c r="AV47" s="3" t="s">
        <v>248</v>
      </c>
      <c r="AW47" s="3" t="s">
        <v>222</v>
      </c>
      <c r="AX47" s="3" t="s">
        <v>223</v>
      </c>
      <c r="AY47" s="3" t="s">
        <v>70</v>
      </c>
      <c r="AZ47" s="3" t="s">
        <v>60</v>
      </c>
      <c r="BA47" s="3" t="s">
        <v>220</v>
      </c>
    </row>
    <row r="48" spans="1:53" ht="15" customHeight="1">
      <c r="A48" s="2">
        <v>47</v>
      </c>
      <c r="B48" s="2">
        <v>1533150218</v>
      </c>
      <c r="C48" s="2" t="s">
        <v>214</v>
      </c>
      <c r="D48" s="2" t="s">
        <v>249</v>
      </c>
      <c r="E48" s="2">
        <v>0</v>
      </c>
      <c r="F48" s="2">
        <v>0</v>
      </c>
      <c r="G48" s="2">
        <v>0</v>
      </c>
      <c r="H48" s="2">
        <f t="shared" si="30"/>
        <v>0</v>
      </c>
      <c r="I48" s="2">
        <f t="shared" si="31"/>
        <v>1</v>
      </c>
      <c r="J48" s="2">
        <f t="shared" si="32"/>
        <v>0</v>
      </c>
      <c r="K48" s="2">
        <f t="shared" si="33"/>
        <v>0</v>
      </c>
      <c r="L48" s="2" t="str">
        <f t="shared" si="34"/>
        <v>Agreement</v>
      </c>
      <c r="M48" s="2">
        <f t="shared" si="35"/>
        <v>0</v>
      </c>
      <c r="N48" s="2">
        <f t="shared" si="36"/>
        <v>1</v>
      </c>
      <c r="O48" s="2">
        <f t="shared" si="37"/>
        <v>0</v>
      </c>
      <c r="P48" s="2">
        <f t="shared" si="38"/>
        <v>0</v>
      </c>
      <c r="Q48" s="2" t="str">
        <f t="shared" si="39"/>
        <v>Agreement</v>
      </c>
      <c r="R48" s="2">
        <v>-1</v>
      </c>
      <c r="S48" s="2">
        <v>-1</v>
      </c>
      <c r="T48" s="2">
        <v>-1</v>
      </c>
      <c r="U48" s="2">
        <f t="shared" si="40"/>
        <v>0</v>
      </c>
      <c r="V48" s="2">
        <f t="shared" si="41"/>
        <v>1</v>
      </c>
      <c r="W48" s="2">
        <f t="shared" si="42"/>
        <v>0</v>
      </c>
      <c r="X48" s="2">
        <f t="shared" si="43"/>
        <v>0</v>
      </c>
      <c r="Y48" s="2" t="str">
        <f t="shared" si="44"/>
        <v>Agreement</v>
      </c>
      <c r="Z48" s="2">
        <f t="shared" si="45"/>
        <v>0</v>
      </c>
      <c r="AA48" s="2">
        <f t="shared" si="46"/>
        <v>1</v>
      </c>
      <c r="AB48" s="2">
        <f t="shared" si="47"/>
        <v>0</v>
      </c>
      <c r="AC48" s="2">
        <f t="shared" si="48"/>
        <v>0</v>
      </c>
      <c r="AD48" s="2" t="str">
        <f t="shared" si="49"/>
        <v>Agreement</v>
      </c>
      <c r="AE48" s="2">
        <v>0</v>
      </c>
      <c r="AF48" s="2">
        <v>1</v>
      </c>
      <c r="AG48" s="2">
        <v>1</v>
      </c>
      <c r="AH48" s="2">
        <f t="shared" si="50"/>
        <v>-1</v>
      </c>
      <c r="AI48" s="2">
        <f t="shared" si="51"/>
        <v>0</v>
      </c>
      <c r="AJ48" s="2">
        <f t="shared" si="52"/>
        <v>0</v>
      </c>
      <c r="AK48" s="2">
        <f t="shared" si="53"/>
        <v>1</v>
      </c>
      <c r="AL48" s="2" t="str">
        <f t="shared" si="54"/>
        <v>Underestimation</v>
      </c>
      <c r="AM48" s="2">
        <f t="shared" si="55"/>
        <v>0</v>
      </c>
      <c r="AN48" s="2">
        <f t="shared" si="56"/>
        <v>1</v>
      </c>
      <c r="AO48" s="2">
        <f t="shared" si="57"/>
        <v>0</v>
      </c>
      <c r="AP48" s="2">
        <f t="shared" si="58"/>
        <v>0</v>
      </c>
      <c r="AQ48" s="2" t="str">
        <f t="shared" si="59"/>
        <v>Agreement</v>
      </c>
      <c r="AR48" s="3" t="s">
        <v>55</v>
      </c>
      <c r="AS48" s="3" t="s">
        <v>55</v>
      </c>
      <c r="AT48" s="3" t="s">
        <v>55</v>
      </c>
      <c r="AU48" s="3" t="s">
        <v>250</v>
      </c>
      <c r="AV48" s="3" t="s">
        <v>250</v>
      </c>
      <c r="AW48" s="3" t="s">
        <v>217</v>
      </c>
      <c r="AX48" s="3" t="s">
        <v>218</v>
      </c>
      <c r="AY48" s="3" t="s">
        <v>219</v>
      </c>
      <c r="AZ48" s="3" t="s">
        <v>60</v>
      </c>
      <c r="BA48" s="3" t="s">
        <v>220</v>
      </c>
    </row>
    <row r="49" spans="1:53" ht="15" customHeight="1">
      <c r="A49" s="2">
        <v>48</v>
      </c>
      <c r="B49" s="2">
        <v>1533150218</v>
      </c>
      <c r="C49" s="2" t="s">
        <v>65</v>
      </c>
      <c r="D49" s="2" t="s">
        <v>249</v>
      </c>
      <c r="E49" s="2">
        <v>0</v>
      </c>
      <c r="F49" s="2">
        <v>0</v>
      </c>
      <c r="G49" s="2">
        <v>0</v>
      </c>
      <c r="H49" s="2">
        <f t="shared" si="30"/>
        <v>0</v>
      </c>
      <c r="I49" s="2">
        <f t="shared" si="31"/>
        <v>1</v>
      </c>
      <c r="J49" s="2">
        <f t="shared" si="32"/>
        <v>0</v>
      </c>
      <c r="K49" s="2">
        <f t="shared" si="33"/>
        <v>0</v>
      </c>
      <c r="L49" s="2" t="str">
        <f t="shared" si="34"/>
        <v>Agreement</v>
      </c>
      <c r="M49" s="2">
        <f t="shared" si="35"/>
        <v>0</v>
      </c>
      <c r="N49" s="2">
        <f t="shared" si="36"/>
        <v>1</v>
      </c>
      <c r="O49" s="2">
        <f t="shared" si="37"/>
        <v>0</v>
      </c>
      <c r="P49" s="2">
        <f t="shared" si="38"/>
        <v>0</v>
      </c>
      <c r="Q49" s="2" t="str">
        <f t="shared" si="39"/>
        <v>Agreement</v>
      </c>
      <c r="R49" s="2">
        <v>-1</v>
      </c>
      <c r="S49" s="2">
        <v>-1</v>
      </c>
      <c r="T49" s="2">
        <v>-1</v>
      </c>
      <c r="U49" s="2">
        <f t="shared" si="40"/>
        <v>0</v>
      </c>
      <c r="V49" s="2">
        <f t="shared" si="41"/>
        <v>1</v>
      </c>
      <c r="W49" s="2">
        <f t="shared" si="42"/>
        <v>0</v>
      </c>
      <c r="X49" s="2">
        <f t="shared" si="43"/>
        <v>0</v>
      </c>
      <c r="Y49" s="2" t="str">
        <f t="shared" si="44"/>
        <v>Agreement</v>
      </c>
      <c r="Z49" s="2">
        <f t="shared" si="45"/>
        <v>0</v>
      </c>
      <c r="AA49" s="2">
        <f t="shared" si="46"/>
        <v>1</v>
      </c>
      <c r="AB49" s="2">
        <f t="shared" si="47"/>
        <v>0</v>
      </c>
      <c r="AC49" s="2">
        <f t="shared" si="48"/>
        <v>0</v>
      </c>
      <c r="AD49" s="2" t="str">
        <f t="shared" si="49"/>
        <v>Agreement</v>
      </c>
      <c r="AE49" s="2">
        <v>0</v>
      </c>
      <c r="AF49" s="2">
        <v>1</v>
      </c>
      <c r="AG49" s="2">
        <v>1</v>
      </c>
      <c r="AH49" s="2">
        <f t="shared" si="50"/>
        <v>-1</v>
      </c>
      <c r="AI49" s="2">
        <f t="shared" si="51"/>
        <v>0</v>
      </c>
      <c r="AJ49" s="2">
        <f t="shared" si="52"/>
        <v>0</v>
      </c>
      <c r="AK49" s="2">
        <f t="shared" si="53"/>
        <v>1</v>
      </c>
      <c r="AL49" s="2" t="str">
        <f t="shared" si="54"/>
        <v>Underestimation</v>
      </c>
      <c r="AM49" s="2">
        <f t="shared" si="55"/>
        <v>0</v>
      </c>
      <c r="AN49" s="2">
        <f t="shared" si="56"/>
        <v>1</v>
      </c>
      <c r="AO49" s="2">
        <f t="shared" si="57"/>
        <v>0</v>
      </c>
      <c r="AP49" s="2">
        <f t="shared" si="58"/>
        <v>0</v>
      </c>
      <c r="AQ49" s="2" t="str">
        <f t="shared" si="59"/>
        <v>Agreement</v>
      </c>
      <c r="AR49" s="3" t="s">
        <v>55</v>
      </c>
      <c r="AS49" s="3" t="s">
        <v>55</v>
      </c>
      <c r="AT49" s="3" t="s">
        <v>55</v>
      </c>
      <c r="AU49" s="3" t="s">
        <v>251</v>
      </c>
      <c r="AV49" s="3" t="s">
        <v>251</v>
      </c>
      <c r="AW49" s="3" t="s">
        <v>222</v>
      </c>
      <c r="AX49" s="3" t="s">
        <v>223</v>
      </c>
      <c r="AY49" s="3" t="s">
        <v>70</v>
      </c>
      <c r="AZ49" s="3" t="s">
        <v>60</v>
      </c>
      <c r="BA49" s="3" t="s">
        <v>220</v>
      </c>
    </row>
    <row r="50" spans="1:53" ht="15" customHeight="1">
      <c r="A50" s="2">
        <v>49</v>
      </c>
      <c r="B50" s="2">
        <v>2055480826</v>
      </c>
      <c r="C50" s="2" t="s">
        <v>252</v>
      </c>
      <c r="D50" s="2" t="s">
        <v>253</v>
      </c>
      <c r="E50" s="2">
        <v>0</v>
      </c>
      <c r="F50" s="2">
        <v>0</v>
      </c>
      <c r="G50" s="2">
        <v>0</v>
      </c>
      <c r="H50" s="2">
        <f t="shared" si="30"/>
        <v>0</v>
      </c>
      <c r="I50" s="2">
        <f t="shared" si="31"/>
        <v>1</v>
      </c>
      <c r="J50" s="2">
        <f t="shared" si="32"/>
        <v>0</v>
      </c>
      <c r="K50" s="2">
        <f t="shared" si="33"/>
        <v>0</v>
      </c>
      <c r="L50" s="2" t="str">
        <f t="shared" si="34"/>
        <v>Agreement</v>
      </c>
      <c r="M50" s="2">
        <f t="shared" si="35"/>
        <v>0</v>
      </c>
      <c r="N50" s="2">
        <f t="shared" si="36"/>
        <v>1</v>
      </c>
      <c r="O50" s="2">
        <f t="shared" si="37"/>
        <v>0</v>
      </c>
      <c r="P50" s="2">
        <f t="shared" si="38"/>
        <v>0</v>
      </c>
      <c r="Q50" s="2" t="str">
        <f t="shared" si="39"/>
        <v>Agreement</v>
      </c>
      <c r="R50" s="2">
        <v>-1</v>
      </c>
      <c r="S50" s="2">
        <v>-1</v>
      </c>
      <c r="T50" s="2">
        <v>-1</v>
      </c>
      <c r="U50" s="2">
        <f t="shared" si="40"/>
        <v>0</v>
      </c>
      <c r="V50" s="2">
        <f t="shared" si="41"/>
        <v>1</v>
      </c>
      <c r="W50" s="2">
        <f t="shared" si="42"/>
        <v>0</v>
      </c>
      <c r="X50" s="2">
        <f t="shared" si="43"/>
        <v>0</v>
      </c>
      <c r="Y50" s="2" t="str">
        <f t="shared" si="44"/>
        <v>Agreement</v>
      </c>
      <c r="Z50" s="2">
        <f t="shared" si="45"/>
        <v>0</v>
      </c>
      <c r="AA50" s="2">
        <f t="shared" si="46"/>
        <v>1</v>
      </c>
      <c r="AB50" s="2">
        <f t="shared" si="47"/>
        <v>0</v>
      </c>
      <c r="AC50" s="2">
        <f t="shared" si="48"/>
        <v>0</v>
      </c>
      <c r="AD50" s="2" t="str">
        <f t="shared" si="49"/>
        <v>Agreement</v>
      </c>
      <c r="AE50" s="2">
        <v>0</v>
      </c>
      <c r="AF50" s="2">
        <v>1</v>
      </c>
      <c r="AG50" s="2">
        <v>1</v>
      </c>
      <c r="AH50" s="2">
        <f t="shared" si="50"/>
        <v>-1</v>
      </c>
      <c r="AI50" s="2">
        <f t="shared" si="51"/>
        <v>0</v>
      </c>
      <c r="AJ50" s="2">
        <f t="shared" si="52"/>
        <v>0</v>
      </c>
      <c r="AK50" s="2">
        <f t="shared" si="53"/>
        <v>1</v>
      </c>
      <c r="AL50" s="2" t="str">
        <f t="shared" si="54"/>
        <v>Underestimation</v>
      </c>
      <c r="AM50" s="2">
        <f t="shared" si="55"/>
        <v>0</v>
      </c>
      <c r="AN50" s="2">
        <f t="shared" si="56"/>
        <v>1</v>
      </c>
      <c r="AO50" s="2">
        <f t="shared" si="57"/>
        <v>0</v>
      </c>
      <c r="AP50" s="2">
        <f t="shared" si="58"/>
        <v>0</v>
      </c>
      <c r="AQ50" s="2" t="str">
        <f t="shared" si="59"/>
        <v>Agreement</v>
      </c>
      <c r="AR50" s="3" t="s">
        <v>55</v>
      </c>
      <c r="AS50" s="3" t="s">
        <v>55</v>
      </c>
      <c r="AT50" s="3" t="s">
        <v>55</v>
      </c>
      <c r="AU50" s="3" t="s">
        <v>254</v>
      </c>
      <c r="AV50" s="3" t="s">
        <v>254</v>
      </c>
      <c r="AW50" s="3" t="s">
        <v>255</v>
      </c>
      <c r="AX50" s="3" t="s">
        <v>256</v>
      </c>
      <c r="AY50" s="3" t="s">
        <v>257</v>
      </c>
      <c r="AZ50" s="3" t="s">
        <v>60</v>
      </c>
      <c r="BA50" s="3" t="s">
        <v>258</v>
      </c>
    </row>
    <row r="51" spans="1:53" ht="15" customHeight="1">
      <c r="A51" s="2">
        <v>50</v>
      </c>
      <c r="B51" s="2">
        <v>1533424812</v>
      </c>
      <c r="C51" s="2" t="s">
        <v>259</v>
      </c>
      <c r="D51" s="2" t="s">
        <v>260</v>
      </c>
      <c r="E51" s="2">
        <v>-1</v>
      </c>
      <c r="F51" s="2">
        <v>0</v>
      </c>
      <c r="G51" s="2">
        <v>0</v>
      </c>
      <c r="H51" s="2">
        <f t="shared" si="30"/>
        <v>-1</v>
      </c>
      <c r="I51" s="2">
        <f t="shared" si="31"/>
        <v>0</v>
      </c>
      <c r="J51" s="2">
        <f t="shared" si="32"/>
        <v>0</v>
      </c>
      <c r="K51" s="2">
        <f t="shared" si="33"/>
        <v>1</v>
      </c>
      <c r="L51" s="2" t="str">
        <f t="shared" si="34"/>
        <v>Underestimation</v>
      </c>
      <c r="M51" s="2">
        <f t="shared" si="35"/>
        <v>0</v>
      </c>
      <c r="N51" s="2">
        <f t="shared" si="36"/>
        <v>1</v>
      </c>
      <c r="O51" s="2">
        <f t="shared" si="37"/>
        <v>0</v>
      </c>
      <c r="P51" s="2">
        <f t="shared" si="38"/>
        <v>0</v>
      </c>
      <c r="Q51" s="2" t="str">
        <f t="shared" si="39"/>
        <v>Agreement</v>
      </c>
      <c r="R51" s="2">
        <v>-1</v>
      </c>
      <c r="S51" s="2">
        <v>-1</v>
      </c>
      <c r="T51" s="2">
        <v>-1</v>
      </c>
      <c r="U51" s="2">
        <f t="shared" si="40"/>
        <v>0</v>
      </c>
      <c r="V51" s="2">
        <f t="shared" si="41"/>
        <v>1</v>
      </c>
      <c r="W51" s="2">
        <f t="shared" si="42"/>
        <v>0</v>
      </c>
      <c r="X51" s="2">
        <f t="shared" si="43"/>
        <v>0</v>
      </c>
      <c r="Y51" s="2" t="str">
        <f t="shared" si="44"/>
        <v>Agreement</v>
      </c>
      <c r="Z51" s="2">
        <f t="shared" si="45"/>
        <v>0</v>
      </c>
      <c r="AA51" s="2">
        <f t="shared" si="46"/>
        <v>1</v>
      </c>
      <c r="AB51" s="2">
        <f t="shared" si="47"/>
        <v>0</v>
      </c>
      <c r="AC51" s="2">
        <f t="shared" si="48"/>
        <v>0</v>
      </c>
      <c r="AD51" s="2" t="str">
        <f t="shared" si="49"/>
        <v>Agreement</v>
      </c>
      <c r="AE51" s="2">
        <v>0</v>
      </c>
      <c r="AF51" s="2">
        <v>0</v>
      </c>
      <c r="AG51" s="2">
        <v>0</v>
      </c>
      <c r="AH51" s="2">
        <f t="shared" si="50"/>
        <v>0</v>
      </c>
      <c r="AI51" s="2">
        <f t="shared" si="51"/>
        <v>1</v>
      </c>
      <c r="AJ51" s="2">
        <f t="shared" si="52"/>
        <v>0</v>
      </c>
      <c r="AK51" s="2">
        <f t="shared" si="53"/>
        <v>0</v>
      </c>
      <c r="AL51" s="2" t="str">
        <f t="shared" si="54"/>
        <v>Agreement</v>
      </c>
      <c r="AM51" s="2">
        <f t="shared" si="55"/>
        <v>0</v>
      </c>
      <c r="AN51" s="2">
        <f t="shared" si="56"/>
        <v>1</v>
      </c>
      <c r="AO51" s="2">
        <f t="shared" si="57"/>
        <v>0</v>
      </c>
      <c r="AP51" s="2">
        <f t="shared" si="58"/>
        <v>0</v>
      </c>
      <c r="AQ51" s="2" t="str">
        <f t="shared" si="59"/>
        <v>Agreement</v>
      </c>
      <c r="AR51" s="3" t="s">
        <v>261</v>
      </c>
      <c r="AS51" s="3" t="s">
        <v>262</v>
      </c>
      <c r="AT51" s="3" t="s">
        <v>263</v>
      </c>
      <c r="AU51" s="3" t="s">
        <v>264</v>
      </c>
      <c r="AV51" s="3" t="s">
        <v>264</v>
      </c>
      <c r="AW51" s="3" t="s">
        <v>265</v>
      </c>
      <c r="AX51" s="3" t="s">
        <v>266</v>
      </c>
      <c r="AY51" s="3" t="s">
        <v>266</v>
      </c>
      <c r="AZ51" s="3" t="s">
        <v>267</v>
      </c>
      <c r="BA51" s="3" t="s">
        <v>268</v>
      </c>
    </row>
    <row r="52" spans="1:53" ht="15" customHeight="1">
      <c r="A52" s="2">
        <v>51</v>
      </c>
      <c r="B52" s="2">
        <v>152884343</v>
      </c>
      <c r="C52" s="2" t="s">
        <v>269</v>
      </c>
      <c r="D52" s="2" t="s">
        <v>270</v>
      </c>
      <c r="E52" s="2">
        <v>0</v>
      </c>
      <c r="F52" s="2">
        <v>0</v>
      </c>
      <c r="G52" s="2">
        <v>0</v>
      </c>
      <c r="H52" s="2">
        <f t="shared" si="30"/>
        <v>0</v>
      </c>
      <c r="I52" s="2">
        <f t="shared" si="31"/>
        <v>1</v>
      </c>
      <c r="J52" s="2">
        <f t="shared" si="32"/>
        <v>0</v>
      </c>
      <c r="K52" s="2">
        <f t="shared" si="33"/>
        <v>0</v>
      </c>
      <c r="L52" s="2" t="str">
        <f t="shared" si="34"/>
        <v>Agreement</v>
      </c>
      <c r="M52" s="2">
        <f t="shared" si="35"/>
        <v>0</v>
      </c>
      <c r="N52" s="2">
        <f t="shared" si="36"/>
        <v>1</v>
      </c>
      <c r="O52" s="2">
        <f t="shared" si="37"/>
        <v>0</v>
      </c>
      <c r="P52" s="2">
        <f t="shared" si="38"/>
        <v>0</v>
      </c>
      <c r="Q52" s="2" t="str">
        <f t="shared" si="39"/>
        <v>Agreement</v>
      </c>
      <c r="R52" s="2">
        <v>0</v>
      </c>
      <c r="S52" s="2">
        <v>-1</v>
      </c>
      <c r="T52" s="2">
        <v>2</v>
      </c>
      <c r="U52" s="2">
        <f t="shared" si="40"/>
        <v>-2</v>
      </c>
      <c r="V52" s="2">
        <f t="shared" si="41"/>
        <v>0</v>
      </c>
      <c r="W52" s="2">
        <f t="shared" si="42"/>
        <v>0</v>
      </c>
      <c r="X52" s="2">
        <f t="shared" si="43"/>
        <v>1</v>
      </c>
      <c r="Y52" s="2" t="str">
        <f t="shared" si="44"/>
        <v>Underestimation</v>
      </c>
      <c r="Z52" s="2">
        <f t="shared" si="45"/>
        <v>-3</v>
      </c>
      <c r="AA52" s="2">
        <f t="shared" si="46"/>
        <v>0</v>
      </c>
      <c r="AB52" s="2">
        <f t="shared" si="47"/>
        <v>0</v>
      </c>
      <c r="AC52" s="2">
        <f t="shared" si="48"/>
        <v>1</v>
      </c>
      <c r="AD52" s="2" t="str">
        <f t="shared" si="49"/>
        <v>Underestimation</v>
      </c>
      <c r="AE52" s="2">
        <v>1</v>
      </c>
      <c r="AF52" s="2">
        <v>1</v>
      </c>
      <c r="AG52" s="2">
        <v>1</v>
      </c>
      <c r="AH52" s="2">
        <f t="shared" si="50"/>
        <v>0</v>
      </c>
      <c r="AI52" s="2">
        <f t="shared" si="51"/>
        <v>1</v>
      </c>
      <c r="AJ52" s="2">
        <f t="shared" si="52"/>
        <v>0</v>
      </c>
      <c r="AK52" s="2">
        <f t="shared" si="53"/>
        <v>0</v>
      </c>
      <c r="AL52" s="2" t="str">
        <f t="shared" si="54"/>
        <v>Agreement</v>
      </c>
      <c r="AM52" s="2">
        <f t="shared" si="55"/>
        <v>0</v>
      </c>
      <c r="AN52" s="2">
        <f t="shared" si="56"/>
        <v>1</v>
      </c>
      <c r="AO52" s="2">
        <f t="shared" si="57"/>
        <v>0</v>
      </c>
      <c r="AP52" s="2">
        <f t="shared" si="58"/>
        <v>0</v>
      </c>
      <c r="AQ52" s="2" t="str">
        <f t="shared" si="59"/>
        <v>Agreement</v>
      </c>
      <c r="AR52" s="3" t="s">
        <v>55</v>
      </c>
      <c r="AS52" s="3" t="s">
        <v>55</v>
      </c>
      <c r="AT52" s="3" t="s">
        <v>55</v>
      </c>
      <c r="AU52" s="3" t="s">
        <v>271</v>
      </c>
      <c r="AV52" s="3" t="s">
        <v>272</v>
      </c>
      <c r="AW52" s="3" t="s">
        <v>273</v>
      </c>
      <c r="AX52" s="3" t="s">
        <v>274</v>
      </c>
      <c r="AY52" s="3" t="s">
        <v>274</v>
      </c>
      <c r="AZ52" s="3" t="s">
        <v>60</v>
      </c>
      <c r="BA52" s="3" t="s">
        <v>275</v>
      </c>
    </row>
    <row r="53" spans="1:53" ht="15" customHeight="1">
      <c r="A53" s="2">
        <v>52</v>
      </c>
      <c r="B53" s="2">
        <v>152884343</v>
      </c>
      <c r="C53" s="2" t="s">
        <v>276</v>
      </c>
      <c r="D53" s="2" t="s">
        <v>270</v>
      </c>
      <c r="E53" s="2">
        <v>0</v>
      </c>
      <c r="F53" s="2">
        <v>0</v>
      </c>
      <c r="G53" s="2">
        <v>0</v>
      </c>
      <c r="H53" s="2">
        <f t="shared" si="30"/>
        <v>0</v>
      </c>
      <c r="I53" s="2">
        <f t="shared" si="31"/>
        <v>1</v>
      </c>
      <c r="J53" s="2">
        <f t="shared" si="32"/>
        <v>0</v>
      </c>
      <c r="K53" s="2">
        <f t="shared" si="33"/>
        <v>0</v>
      </c>
      <c r="L53" s="2" t="str">
        <f t="shared" si="34"/>
        <v>Agreement</v>
      </c>
      <c r="M53" s="2">
        <f t="shared" si="35"/>
        <v>0</v>
      </c>
      <c r="N53" s="2">
        <f t="shared" si="36"/>
        <v>1</v>
      </c>
      <c r="O53" s="2">
        <f t="shared" si="37"/>
        <v>0</v>
      </c>
      <c r="P53" s="2">
        <f t="shared" si="38"/>
        <v>0</v>
      </c>
      <c r="Q53" s="2" t="str">
        <f t="shared" si="39"/>
        <v>Agreement</v>
      </c>
      <c r="R53" s="2">
        <v>0</v>
      </c>
      <c r="S53" s="2">
        <v>-1</v>
      </c>
      <c r="T53" s="2">
        <v>-1</v>
      </c>
      <c r="U53" s="2">
        <f t="shared" si="40"/>
        <v>1</v>
      </c>
      <c r="V53" s="2">
        <f t="shared" si="41"/>
        <v>0</v>
      </c>
      <c r="W53" s="2">
        <f t="shared" si="42"/>
        <v>1</v>
      </c>
      <c r="X53" s="2">
        <f t="shared" si="43"/>
        <v>0</v>
      </c>
      <c r="Y53" s="2" t="str">
        <f t="shared" si="44"/>
        <v>Overestimation</v>
      </c>
      <c r="Z53" s="2">
        <f t="shared" si="45"/>
        <v>0</v>
      </c>
      <c r="AA53" s="2">
        <f t="shared" si="46"/>
        <v>1</v>
      </c>
      <c r="AB53" s="2">
        <f t="shared" si="47"/>
        <v>0</v>
      </c>
      <c r="AC53" s="2">
        <f t="shared" si="48"/>
        <v>0</v>
      </c>
      <c r="AD53" s="2" t="str">
        <f t="shared" si="49"/>
        <v>Agreement</v>
      </c>
      <c r="AE53" s="2">
        <v>1</v>
      </c>
      <c r="AF53" s="2">
        <v>1</v>
      </c>
      <c r="AG53" s="2">
        <v>1</v>
      </c>
      <c r="AH53" s="2">
        <f t="shared" si="50"/>
        <v>0</v>
      </c>
      <c r="AI53" s="2">
        <f t="shared" si="51"/>
        <v>1</v>
      </c>
      <c r="AJ53" s="2">
        <f t="shared" si="52"/>
        <v>0</v>
      </c>
      <c r="AK53" s="2">
        <f t="shared" si="53"/>
        <v>0</v>
      </c>
      <c r="AL53" s="2" t="str">
        <f t="shared" si="54"/>
        <v>Agreement</v>
      </c>
      <c r="AM53" s="2">
        <f t="shared" si="55"/>
        <v>0</v>
      </c>
      <c r="AN53" s="2">
        <f t="shared" si="56"/>
        <v>1</v>
      </c>
      <c r="AO53" s="2">
        <f t="shared" si="57"/>
        <v>0</v>
      </c>
      <c r="AP53" s="2">
        <f t="shared" si="58"/>
        <v>0</v>
      </c>
      <c r="AQ53" s="2" t="str">
        <f t="shared" si="59"/>
        <v>Agreement</v>
      </c>
      <c r="AR53" s="3" t="s">
        <v>277</v>
      </c>
      <c r="AS53" s="3" t="s">
        <v>277</v>
      </c>
      <c r="AT53" s="3" t="s">
        <v>55</v>
      </c>
      <c r="AU53" s="3" t="s">
        <v>278</v>
      </c>
      <c r="AV53" s="3" t="s">
        <v>279</v>
      </c>
      <c r="AW53" s="3" t="s">
        <v>280</v>
      </c>
      <c r="AX53" s="3" t="s">
        <v>281</v>
      </c>
      <c r="AY53" s="3" t="s">
        <v>281</v>
      </c>
      <c r="AZ53" s="3" t="s">
        <v>60</v>
      </c>
      <c r="BA53" s="3" t="s">
        <v>275</v>
      </c>
    </row>
    <row r="54" spans="1:53" ht="15" customHeight="1">
      <c r="A54" s="2">
        <v>53</v>
      </c>
      <c r="B54" s="2">
        <v>226140432</v>
      </c>
      <c r="C54" s="2" t="s">
        <v>282</v>
      </c>
      <c r="D54" s="2" t="s">
        <v>159</v>
      </c>
      <c r="E54" s="2">
        <v>0</v>
      </c>
      <c r="F54" s="2">
        <v>0</v>
      </c>
      <c r="G54" s="2">
        <v>0</v>
      </c>
      <c r="H54" s="2">
        <f t="shared" si="30"/>
        <v>0</v>
      </c>
      <c r="I54" s="2">
        <f t="shared" si="31"/>
        <v>1</v>
      </c>
      <c r="J54" s="2">
        <f t="shared" si="32"/>
        <v>0</v>
      </c>
      <c r="K54" s="2">
        <f t="shared" si="33"/>
        <v>0</v>
      </c>
      <c r="L54" s="2" t="str">
        <f t="shared" si="34"/>
        <v>Agreement</v>
      </c>
      <c r="M54" s="2">
        <f t="shared" si="35"/>
        <v>0</v>
      </c>
      <c r="N54" s="2">
        <f t="shared" si="36"/>
        <v>1</v>
      </c>
      <c r="O54" s="2">
        <f t="shared" si="37"/>
        <v>0</v>
      </c>
      <c r="P54" s="2">
        <f t="shared" si="38"/>
        <v>0</v>
      </c>
      <c r="Q54" s="2" t="str">
        <f t="shared" si="39"/>
        <v>Agreement</v>
      </c>
      <c r="R54" s="2">
        <v>-1</v>
      </c>
      <c r="S54" s="2">
        <v>2</v>
      </c>
      <c r="T54" s="2">
        <v>2</v>
      </c>
      <c r="U54" s="2">
        <f t="shared" si="40"/>
        <v>-3</v>
      </c>
      <c r="V54" s="2">
        <f t="shared" si="41"/>
        <v>0</v>
      </c>
      <c r="W54" s="2">
        <f t="shared" si="42"/>
        <v>0</v>
      </c>
      <c r="X54" s="2">
        <f t="shared" si="43"/>
        <v>1</v>
      </c>
      <c r="Y54" s="2" t="str">
        <f t="shared" si="44"/>
        <v>Underestimation</v>
      </c>
      <c r="Z54" s="2">
        <f t="shared" si="45"/>
        <v>0</v>
      </c>
      <c r="AA54" s="2">
        <f t="shared" si="46"/>
        <v>1</v>
      </c>
      <c r="AB54" s="2">
        <f t="shared" si="47"/>
        <v>0</v>
      </c>
      <c r="AC54" s="2">
        <f t="shared" si="48"/>
        <v>0</v>
      </c>
      <c r="AD54" s="2" t="str">
        <f t="shared" si="49"/>
        <v>Agreement</v>
      </c>
      <c r="AE54" s="2">
        <v>1</v>
      </c>
      <c r="AF54" s="2">
        <v>1</v>
      </c>
      <c r="AG54" s="2">
        <v>1</v>
      </c>
      <c r="AH54" s="2">
        <f t="shared" si="50"/>
        <v>0</v>
      </c>
      <c r="AI54" s="2">
        <f t="shared" si="51"/>
        <v>1</v>
      </c>
      <c r="AJ54" s="2">
        <f t="shared" si="52"/>
        <v>0</v>
      </c>
      <c r="AK54" s="2">
        <f t="shared" si="53"/>
        <v>0</v>
      </c>
      <c r="AL54" s="2" t="str">
        <f t="shared" si="54"/>
        <v>Agreement</v>
      </c>
      <c r="AM54" s="2">
        <f t="shared" si="55"/>
        <v>0</v>
      </c>
      <c r="AN54" s="2">
        <f t="shared" si="56"/>
        <v>1</v>
      </c>
      <c r="AO54" s="2">
        <f t="shared" si="57"/>
        <v>0</v>
      </c>
      <c r="AP54" s="2">
        <f t="shared" si="58"/>
        <v>0</v>
      </c>
      <c r="AQ54" s="2" t="str">
        <f t="shared" si="59"/>
        <v>Agreement</v>
      </c>
      <c r="AR54" s="3" t="s">
        <v>55</v>
      </c>
      <c r="AS54" s="3" t="s">
        <v>55</v>
      </c>
      <c r="AT54" s="3" t="s">
        <v>55</v>
      </c>
      <c r="AU54" s="3"/>
      <c r="AV54" s="3" t="s">
        <v>283</v>
      </c>
      <c r="AW54" s="3" t="s">
        <v>284</v>
      </c>
      <c r="AX54" s="3" t="s">
        <v>285</v>
      </c>
      <c r="AY54" s="3" t="s">
        <v>285</v>
      </c>
      <c r="AZ54" s="3" t="s">
        <v>60</v>
      </c>
      <c r="BA54" s="3" t="s">
        <v>163</v>
      </c>
    </row>
    <row r="55" spans="1:53" ht="15" customHeight="1">
      <c r="A55" s="2">
        <v>54</v>
      </c>
      <c r="B55" s="2">
        <v>226171673</v>
      </c>
      <c r="C55" s="2" t="s">
        <v>282</v>
      </c>
      <c r="D55" s="2" t="s">
        <v>159</v>
      </c>
      <c r="E55" s="2">
        <v>0</v>
      </c>
      <c r="F55" s="2">
        <v>0</v>
      </c>
      <c r="G55" s="2">
        <v>0</v>
      </c>
      <c r="H55" s="2">
        <f t="shared" si="30"/>
        <v>0</v>
      </c>
      <c r="I55" s="2">
        <f t="shared" si="31"/>
        <v>1</v>
      </c>
      <c r="J55" s="2">
        <f t="shared" si="32"/>
        <v>0</v>
      </c>
      <c r="K55" s="2">
        <f t="shared" si="33"/>
        <v>0</v>
      </c>
      <c r="L55" s="2" t="str">
        <f t="shared" si="34"/>
        <v>Agreement</v>
      </c>
      <c r="M55" s="2">
        <f t="shared" si="35"/>
        <v>0</v>
      </c>
      <c r="N55" s="2">
        <f t="shared" si="36"/>
        <v>1</v>
      </c>
      <c r="O55" s="2">
        <f t="shared" si="37"/>
        <v>0</v>
      </c>
      <c r="P55" s="2">
        <f t="shared" si="38"/>
        <v>0</v>
      </c>
      <c r="Q55" s="2" t="str">
        <f t="shared" si="39"/>
        <v>Agreement</v>
      </c>
      <c r="R55" s="2">
        <v>-1</v>
      </c>
      <c r="S55" s="2">
        <v>2</v>
      </c>
      <c r="T55" s="2">
        <v>2</v>
      </c>
      <c r="U55" s="2">
        <f t="shared" si="40"/>
        <v>-3</v>
      </c>
      <c r="V55" s="2">
        <f t="shared" si="41"/>
        <v>0</v>
      </c>
      <c r="W55" s="2">
        <f t="shared" si="42"/>
        <v>0</v>
      </c>
      <c r="X55" s="2">
        <f t="shared" si="43"/>
        <v>1</v>
      </c>
      <c r="Y55" s="2" t="str">
        <f t="shared" si="44"/>
        <v>Underestimation</v>
      </c>
      <c r="Z55" s="2">
        <f t="shared" si="45"/>
        <v>0</v>
      </c>
      <c r="AA55" s="2">
        <f t="shared" si="46"/>
        <v>1</v>
      </c>
      <c r="AB55" s="2">
        <f t="shared" si="47"/>
        <v>0</v>
      </c>
      <c r="AC55" s="2">
        <f t="shared" si="48"/>
        <v>0</v>
      </c>
      <c r="AD55" s="2" t="str">
        <f t="shared" si="49"/>
        <v>Agreement</v>
      </c>
      <c r="AE55" s="2">
        <v>1</v>
      </c>
      <c r="AF55" s="2">
        <v>1</v>
      </c>
      <c r="AG55" s="2">
        <v>1</v>
      </c>
      <c r="AH55" s="2">
        <f t="shared" si="50"/>
        <v>0</v>
      </c>
      <c r="AI55" s="2">
        <f t="shared" si="51"/>
        <v>1</v>
      </c>
      <c r="AJ55" s="2">
        <f t="shared" si="52"/>
        <v>0</v>
      </c>
      <c r="AK55" s="2">
        <f t="shared" si="53"/>
        <v>0</v>
      </c>
      <c r="AL55" s="2" t="str">
        <f t="shared" si="54"/>
        <v>Agreement</v>
      </c>
      <c r="AM55" s="2">
        <f t="shared" si="55"/>
        <v>0</v>
      </c>
      <c r="AN55" s="2">
        <f t="shared" si="56"/>
        <v>1</v>
      </c>
      <c r="AO55" s="2">
        <f t="shared" si="57"/>
        <v>0</v>
      </c>
      <c r="AP55" s="2">
        <f t="shared" si="58"/>
        <v>0</v>
      </c>
      <c r="AQ55" s="2" t="str">
        <f t="shared" si="59"/>
        <v>Agreement</v>
      </c>
      <c r="AR55" s="3" t="s">
        <v>55</v>
      </c>
      <c r="AS55" s="3" t="s">
        <v>55</v>
      </c>
      <c r="AT55" s="3" t="s">
        <v>55</v>
      </c>
      <c r="AU55" s="3"/>
      <c r="AV55" s="3" t="s">
        <v>286</v>
      </c>
      <c r="AW55" s="3" t="s">
        <v>57</v>
      </c>
      <c r="AX55" s="3" t="s">
        <v>287</v>
      </c>
      <c r="AY55" s="3" t="s">
        <v>287</v>
      </c>
      <c r="AZ55" s="3" t="s">
        <v>60</v>
      </c>
      <c r="BA55" s="3" t="s">
        <v>166</v>
      </c>
    </row>
    <row r="56" spans="1:53" ht="15" customHeight="1">
      <c r="A56" s="2">
        <v>55</v>
      </c>
      <c r="B56" s="2">
        <v>227305563</v>
      </c>
      <c r="C56" s="2" t="s">
        <v>288</v>
      </c>
      <c r="D56" s="2" t="s">
        <v>289</v>
      </c>
      <c r="E56" s="2">
        <v>0</v>
      </c>
      <c r="F56" s="2">
        <v>0</v>
      </c>
      <c r="G56" s="2">
        <v>0</v>
      </c>
      <c r="H56" s="2">
        <f t="shared" si="30"/>
        <v>0</v>
      </c>
      <c r="I56" s="2">
        <f t="shared" si="31"/>
        <v>1</v>
      </c>
      <c r="J56" s="2">
        <f t="shared" si="32"/>
        <v>0</v>
      </c>
      <c r="K56" s="2">
        <f t="shared" si="33"/>
        <v>0</v>
      </c>
      <c r="L56" s="2" t="str">
        <f t="shared" si="34"/>
        <v>Agreement</v>
      </c>
      <c r="M56" s="2">
        <f t="shared" si="35"/>
        <v>0</v>
      </c>
      <c r="N56" s="2">
        <f t="shared" si="36"/>
        <v>1</v>
      </c>
      <c r="O56" s="2">
        <f t="shared" si="37"/>
        <v>0</v>
      </c>
      <c r="P56" s="2">
        <f t="shared" si="38"/>
        <v>0</v>
      </c>
      <c r="Q56" s="2" t="str">
        <f t="shared" si="39"/>
        <v>Agreement</v>
      </c>
      <c r="R56" s="2">
        <v>-1</v>
      </c>
      <c r="S56" s="2">
        <v>2</v>
      </c>
      <c r="T56" s="2">
        <v>2</v>
      </c>
      <c r="U56" s="2">
        <f t="shared" si="40"/>
        <v>-3</v>
      </c>
      <c r="V56" s="2">
        <f t="shared" si="41"/>
        <v>0</v>
      </c>
      <c r="W56" s="2">
        <f t="shared" si="42"/>
        <v>0</v>
      </c>
      <c r="X56" s="2">
        <f t="shared" si="43"/>
        <v>1</v>
      </c>
      <c r="Y56" s="2" t="str">
        <f t="shared" si="44"/>
        <v>Underestimation</v>
      </c>
      <c r="Z56" s="2">
        <f t="shared" si="45"/>
        <v>0</v>
      </c>
      <c r="AA56" s="2">
        <f t="shared" si="46"/>
        <v>1</v>
      </c>
      <c r="AB56" s="2">
        <f t="shared" si="47"/>
        <v>0</v>
      </c>
      <c r="AC56" s="2">
        <f t="shared" si="48"/>
        <v>0</v>
      </c>
      <c r="AD56" s="2" t="str">
        <f t="shared" si="49"/>
        <v>Agreement</v>
      </c>
      <c r="AE56" s="2">
        <v>1</v>
      </c>
      <c r="AF56" s="2">
        <v>1</v>
      </c>
      <c r="AG56" s="2">
        <v>1</v>
      </c>
      <c r="AH56" s="2">
        <f t="shared" si="50"/>
        <v>0</v>
      </c>
      <c r="AI56" s="2">
        <f t="shared" si="51"/>
        <v>1</v>
      </c>
      <c r="AJ56" s="2">
        <f t="shared" si="52"/>
        <v>0</v>
      </c>
      <c r="AK56" s="2">
        <f t="shared" si="53"/>
        <v>0</v>
      </c>
      <c r="AL56" s="2" t="str">
        <f t="shared" si="54"/>
        <v>Agreement</v>
      </c>
      <c r="AM56" s="2">
        <f t="shared" si="55"/>
        <v>0</v>
      </c>
      <c r="AN56" s="2">
        <f t="shared" si="56"/>
        <v>1</v>
      </c>
      <c r="AO56" s="2">
        <f t="shared" si="57"/>
        <v>0</v>
      </c>
      <c r="AP56" s="2">
        <f t="shared" si="58"/>
        <v>0</v>
      </c>
      <c r="AQ56" s="2" t="str">
        <f t="shared" si="59"/>
        <v>Agreement</v>
      </c>
      <c r="AR56" s="3" t="s">
        <v>55</v>
      </c>
      <c r="AS56" s="3" t="s">
        <v>55</v>
      </c>
      <c r="AT56" s="3" t="s">
        <v>55</v>
      </c>
      <c r="AU56" s="3"/>
      <c r="AV56" s="3" t="s">
        <v>290</v>
      </c>
      <c r="AW56" s="3" t="s">
        <v>291</v>
      </c>
      <c r="AX56" s="3" t="s">
        <v>292</v>
      </c>
      <c r="AY56" s="3" t="s">
        <v>292</v>
      </c>
      <c r="AZ56" s="3" t="s">
        <v>60</v>
      </c>
      <c r="BA56" s="3" t="s">
        <v>293</v>
      </c>
    </row>
    <row r="57" spans="1:53" ht="15" customHeight="1">
      <c r="A57" s="2">
        <v>56</v>
      </c>
      <c r="B57" s="2">
        <v>229170495</v>
      </c>
      <c r="C57" s="2" t="s">
        <v>294</v>
      </c>
      <c r="D57" s="2" t="s">
        <v>295</v>
      </c>
      <c r="E57" s="2">
        <v>0</v>
      </c>
      <c r="F57" s="2">
        <v>0</v>
      </c>
      <c r="G57" s="2">
        <v>0</v>
      </c>
      <c r="H57" s="2">
        <f t="shared" si="30"/>
        <v>0</v>
      </c>
      <c r="I57" s="2">
        <f t="shared" si="31"/>
        <v>1</v>
      </c>
      <c r="J57" s="2">
        <f t="shared" si="32"/>
        <v>0</v>
      </c>
      <c r="K57" s="2">
        <f t="shared" si="33"/>
        <v>0</v>
      </c>
      <c r="L57" s="2" t="str">
        <f t="shared" si="34"/>
        <v>Agreement</v>
      </c>
      <c r="M57" s="2">
        <f t="shared" si="35"/>
        <v>0</v>
      </c>
      <c r="N57" s="2">
        <f t="shared" si="36"/>
        <v>1</v>
      </c>
      <c r="O57" s="2">
        <f t="shared" si="37"/>
        <v>0</v>
      </c>
      <c r="P57" s="2">
        <f t="shared" si="38"/>
        <v>0</v>
      </c>
      <c r="Q57" s="2" t="str">
        <f t="shared" si="39"/>
        <v>Agreement</v>
      </c>
      <c r="R57" s="2">
        <v>-1</v>
      </c>
      <c r="S57" s="2">
        <v>2</v>
      </c>
      <c r="T57" s="2">
        <v>2</v>
      </c>
      <c r="U57" s="2">
        <f t="shared" si="40"/>
        <v>-3</v>
      </c>
      <c r="V57" s="2">
        <f t="shared" si="41"/>
        <v>0</v>
      </c>
      <c r="W57" s="2">
        <f t="shared" si="42"/>
        <v>0</v>
      </c>
      <c r="X57" s="2">
        <f t="shared" si="43"/>
        <v>1</v>
      </c>
      <c r="Y57" s="2" t="str">
        <f t="shared" si="44"/>
        <v>Underestimation</v>
      </c>
      <c r="Z57" s="2">
        <f t="shared" si="45"/>
        <v>0</v>
      </c>
      <c r="AA57" s="2">
        <f t="shared" si="46"/>
        <v>1</v>
      </c>
      <c r="AB57" s="2">
        <f t="shared" si="47"/>
        <v>0</v>
      </c>
      <c r="AC57" s="2">
        <f t="shared" si="48"/>
        <v>0</v>
      </c>
      <c r="AD57" s="2" t="str">
        <f t="shared" si="49"/>
        <v>Agreement</v>
      </c>
      <c r="AE57" s="2">
        <v>1</v>
      </c>
      <c r="AF57" s="2">
        <v>1</v>
      </c>
      <c r="AG57" s="2">
        <v>1</v>
      </c>
      <c r="AH57" s="2">
        <f t="shared" si="50"/>
        <v>0</v>
      </c>
      <c r="AI57" s="2">
        <f t="shared" si="51"/>
        <v>1</v>
      </c>
      <c r="AJ57" s="2">
        <f t="shared" si="52"/>
        <v>0</v>
      </c>
      <c r="AK57" s="2">
        <f t="shared" si="53"/>
        <v>0</v>
      </c>
      <c r="AL57" s="2" t="str">
        <f t="shared" si="54"/>
        <v>Agreement</v>
      </c>
      <c r="AM57" s="2">
        <f t="shared" si="55"/>
        <v>0</v>
      </c>
      <c r="AN57" s="2">
        <f t="shared" si="56"/>
        <v>1</v>
      </c>
      <c r="AO57" s="2">
        <f t="shared" si="57"/>
        <v>0</v>
      </c>
      <c r="AP57" s="2">
        <f t="shared" si="58"/>
        <v>0</v>
      </c>
      <c r="AQ57" s="2" t="str">
        <f t="shared" si="59"/>
        <v>Agreement</v>
      </c>
      <c r="AR57" s="3" t="s">
        <v>55</v>
      </c>
      <c r="AS57" s="3" t="s">
        <v>55</v>
      </c>
      <c r="AT57" s="3" t="s">
        <v>55</v>
      </c>
      <c r="AU57" s="3"/>
      <c r="AV57" s="3" t="s">
        <v>296</v>
      </c>
      <c r="AW57" s="3" t="s">
        <v>57</v>
      </c>
      <c r="AX57" s="3" t="s">
        <v>297</v>
      </c>
      <c r="AY57" s="3" t="s">
        <v>297</v>
      </c>
      <c r="AZ57" s="3" t="s">
        <v>60</v>
      </c>
      <c r="BA57" s="3" t="s">
        <v>298</v>
      </c>
    </row>
    <row r="58" spans="1:53" ht="15" customHeight="1">
      <c r="A58" s="2">
        <v>57</v>
      </c>
      <c r="B58" s="2">
        <v>229170495</v>
      </c>
      <c r="C58" s="2" t="s">
        <v>299</v>
      </c>
      <c r="D58" s="2" t="s">
        <v>295</v>
      </c>
      <c r="E58" s="2">
        <v>0</v>
      </c>
      <c r="F58" s="2">
        <v>0</v>
      </c>
      <c r="G58" s="2">
        <v>0</v>
      </c>
      <c r="H58" s="2">
        <f t="shared" si="30"/>
        <v>0</v>
      </c>
      <c r="I58" s="2">
        <f t="shared" si="31"/>
        <v>1</v>
      </c>
      <c r="J58" s="2">
        <f t="shared" si="32"/>
        <v>0</v>
      </c>
      <c r="K58" s="2">
        <f t="shared" si="33"/>
        <v>0</v>
      </c>
      <c r="L58" s="2" t="str">
        <f t="shared" si="34"/>
        <v>Agreement</v>
      </c>
      <c r="M58" s="2">
        <f t="shared" si="35"/>
        <v>0</v>
      </c>
      <c r="N58" s="2">
        <f t="shared" si="36"/>
        <v>1</v>
      </c>
      <c r="O58" s="2">
        <f t="shared" si="37"/>
        <v>0</v>
      </c>
      <c r="P58" s="2">
        <f t="shared" si="38"/>
        <v>0</v>
      </c>
      <c r="Q58" s="2" t="str">
        <f t="shared" si="39"/>
        <v>Agreement</v>
      </c>
      <c r="R58" s="2">
        <v>-1</v>
      </c>
      <c r="S58" s="2">
        <v>2</v>
      </c>
      <c r="T58" s="2">
        <v>2</v>
      </c>
      <c r="U58" s="2">
        <f t="shared" si="40"/>
        <v>-3</v>
      </c>
      <c r="V58" s="2">
        <f t="shared" si="41"/>
        <v>0</v>
      </c>
      <c r="W58" s="2">
        <f t="shared" si="42"/>
        <v>0</v>
      </c>
      <c r="X58" s="2">
        <f t="shared" si="43"/>
        <v>1</v>
      </c>
      <c r="Y58" s="2" t="str">
        <f t="shared" si="44"/>
        <v>Underestimation</v>
      </c>
      <c r="Z58" s="2">
        <f t="shared" si="45"/>
        <v>0</v>
      </c>
      <c r="AA58" s="2">
        <f t="shared" si="46"/>
        <v>1</v>
      </c>
      <c r="AB58" s="2">
        <f t="shared" si="47"/>
        <v>0</v>
      </c>
      <c r="AC58" s="2">
        <f t="shared" si="48"/>
        <v>0</v>
      </c>
      <c r="AD58" s="2" t="str">
        <f t="shared" si="49"/>
        <v>Agreement</v>
      </c>
      <c r="AE58" s="2">
        <v>1</v>
      </c>
      <c r="AF58" s="2">
        <v>1</v>
      </c>
      <c r="AG58" s="2">
        <v>1</v>
      </c>
      <c r="AH58" s="2">
        <f t="shared" si="50"/>
        <v>0</v>
      </c>
      <c r="AI58" s="2">
        <f t="shared" si="51"/>
        <v>1</v>
      </c>
      <c r="AJ58" s="2">
        <f t="shared" si="52"/>
        <v>0</v>
      </c>
      <c r="AK58" s="2">
        <f t="shared" si="53"/>
        <v>0</v>
      </c>
      <c r="AL58" s="2" t="str">
        <f t="shared" si="54"/>
        <v>Agreement</v>
      </c>
      <c r="AM58" s="2">
        <f t="shared" si="55"/>
        <v>0</v>
      </c>
      <c r="AN58" s="2">
        <f t="shared" si="56"/>
        <v>1</v>
      </c>
      <c r="AO58" s="2">
        <f t="shared" si="57"/>
        <v>0</v>
      </c>
      <c r="AP58" s="2">
        <f t="shared" si="58"/>
        <v>0</v>
      </c>
      <c r="AQ58" s="2" t="str">
        <f t="shared" si="59"/>
        <v>Agreement</v>
      </c>
      <c r="AR58" s="3" t="s">
        <v>55</v>
      </c>
      <c r="AS58" s="3" t="s">
        <v>55</v>
      </c>
      <c r="AT58" s="3" t="s">
        <v>55</v>
      </c>
      <c r="AU58" s="3"/>
      <c r="AV58" s="3" t="s">
        <v>300</v>
      </c>
      <c r="AW58" s="3" t="s">
        <v>57</v>
      </c>
      <c r="AX58" s="3" t="s">
        <v>301</v>
      </c>
      <c r="AY58" s="3" t="s">
        <v>301</v>
      </c>
      <c r="AZ58" s="3" t="s">
        <v>60</v>
      </c>
      <c r="BA58" s="3" t="s">
        <v>298</v>
      </c>
    </row>
    <row r="59" spans="1:53" ht="15" customHeight="1">
      <c r="A59" s="2">
        <v>58</v>
      </c>
      <c r="B59" s="2">
        <v>229465142</v>
      </c>
      <c r="C59" s="2" t="s">
        <v>302</v>
      </c>
      <c r="D59" s="2" t="s">
        <v>303</v>
      </c>
      <c r="E59" s="2">
        <v>0</v>
      </c>
      <c r="F59" s="2">
        <v>0</v>
      </c>
      <c r="G59" s="2">
        <v>0</v>
      </c>
      <c r="H59" s="2">
        <f t="shared" si="30"/>
        <v>0</v>
      </c>
      <c r="I59" s="2">
        <f t="shared" si="31"/>
        <v>1</v>
      </c>
      <c r="J59" s="2">
        <f t="shared" si="32"/>
        <v>0</v>
      </c>
      <c r="K59" s="2">
        <f t="shared" si="33"/>
        <v>0</v>
      </c>
      <c r="L59" s="2" t="str">
        <f t="shared" si="34"/>
        <v>Agreement</v>
      </c>
      <c r="M59" s="2">
        <f t="shared" si="35"/>
        <v>0</v>
      </c>
      <c r="N59" s="2">
        <f t="shared" si="36"/>
        <v>1</v>
      </c>
      <c r="O59" s="2">
        <f t="shared" si="37"/>
        <v>0</v>
      </c>
      <c r="P59" s="2">
        <f t="shared" si="38"/>
        <v>0</v>
      </c>
      <c r="Q59" s="2" t="str">
        <f t="shared" si="39"/>
        <v>Agreement</v>
      </c>
      <c r="R59" s="2">
        <v>-1</v>
      </c>
      <c r="S59" s="2">
        <v>2</v>
      </c>
      <c r="T59" s="2">
        <v>2</v>
      </c>
      <c r="U59" s="2">
        <f t="shared" si="40"/>
        <v>-3</v>
      </c>
      <c r="V59" s="2">
        <f t="shared" si="41"/>
        <v>0</v>
      </c>
      <c r="W59" s="2">
        <f t="shared" si="42"/>
        <v>0</v>
      </c>
      <c r="X59" s="2">
        <f t="shared" si="43"/>
        <v>1</v>
      </c>
      <c r="Y59" s="2" t="str">
        <f t="shared" si="44"/>
        <v>Underestimation</v>
      </c>
      <c r="Z59" s="2">
        <f t="shared" si="45"/>
        <v>0</v>
      </c>
      <c r="AA59" s="2">
        <f t="shared" si="46"/>
        <v>1</v>
      </c>
      <c r="AB59" s="2">
        <f t="shared" si="47"/>
        <v>0</v>
      </c>
      <c r="AC59" s="2">
        <f t="shared" si="48"/>
        <v>0</v>
      </c>
      <c r="AD59" s="2" t="str">
        <f t="shared" si="49"/>
        <v>Agreement</v>
      </c>
      <c r="AE59" s="2">
        <v>1</v>
      </c>
      <c r="AF59" s="2">
        <v>1</v>
      </c>
      <c r="AG59" s="2">
        <v>1</v>
      </c>
      <c r="AH59" s="2">
        <f t="shared" si="50"/>
        <v>0</v>
      </c>
      <c r="AI59" s="2">
        <f t="shared" si="51"/>
        <v>1</v>
      </c>
      <c r="AJ59" s="2">
        <f t="shared" si="52"/>
        <v>0</v>
      </c>
      <c r="AK59" s="2">
        <f t="shared" si="53"/>
        <v>0</v>
      </c>
      <c r="AL59" s="2" t="str">
        <f t="shared" si="54"/>
        <v>Agreement</v>
      </c>
      <c r="AM59" s="2">
        <f t="shared" si="55"/>
        <v>0</v>
      </c>
      <c r="AN59" s="2">
        <f t="shared" si="56"/>
        <v>1</v>
      </c>
      <c r="AO59" s="2">
        <f t="shared" si="57"/>
        <v>0</v>
      </c>
      <c r="AP59" s="2">
        <f t="shared" si="58"/>
        <v>0</v>
      </c>
      <c r="AQ59" s="2" t="str">
        <f t="shared" si="59"/>
        <v>Agreement</v>
      </c>
      <c r="AR59" s="3" t="s">
        <v>55</v>
      </c>
      <c r="AS59" s="3" t="s">
        <v>55</v>
      </c>
      <c r="AT59" s="3" t="s">
        <v>55</v>
      </c>
      <c r="AU59" s="3"/>
      <c r="AV59" s="3" t="s">
        <v>304</v>
      </c>
      <c r="AW59" s="3" t="s">
        <v>305</v>
      </c>
      <c r="AX59" s="3" t="s">
        <v>306</v>
      </c>
      <c r="AY59" s="3" t="s">
        <v>306</v>
      </c>
      <c r="AZ59" s="3" t="s">
        <v>60</v>
      </c>
      <c r="BA59" s="3" t="s">
        <v>307</v>
      </c>
    </row>
    <row r="60" spans="1:53" ht="15" customHeight="1">
      <c r="A60" s="2">
        <v>59</v>
      </c>
      <c r="B60" s="2">
        <v>1528861314</v>
      </c>
      <c r="C60" s="2" t="s">
        <v>294</v>
      </c>
      <c r="D60" s="2" t="s">
        <v>202</v>
      </c>
      <c r="E60" s="2">
        <v>0</v>
      </c>
      <c r="F60" s="2">
        <v>0</v>
      </c>
      <c r="G60" s="2">
        <v>0</v>
      </c>
      <c r="H60" s="2">
        <f t="shared" si="30"/>
        <v>0</v>
      </c>
      <c r="I60" s="2">
        <f t="shared" si="31"/>
        <v>1</v>
      </c>
      <c r="J60" s="2">
        <f t="shared" si="32"/>
        <v>0</v>
      </c>
      <c r="K60" s="2">
        <f t="shared" si="33"/>
        <v>0</v>
      </c>
      <c r="L60" s="2" t="str">
        <f t="shared" si="34"/>
        <v>Agreement</v>
      </c>
      <c r="M60" s="2">
        <f t="shared" si="35"/>
        <v>0</v>
      </c>
      <c r="N60" s="2">
        <f t="shared" si="36"/>
        <v>1</v>
      </c>
      <c r="O60" s="2">
        <f t="shared" si="37"/>
        <v>0</v>
      </c>
      <c r="P60" s="2">
        <f t="shared" si="38"/>
        <v>0</v>
      </c>
      <c r="Q60" s="2" t="str">
        <f t="shared" si="39"/>
        <v>Agreement</v>
      </c>
      <c r="R60" s="2">
        <v>-1</v>
      </c>
      <c r="S60" s="2">
        <v>2</v>
      </c>
      <c r="T60" s="2">
        <v>2</v>
      </c>
      <c r="U60" s="2">
        <f t="shared" si="40"/>
        <v>-3</v>
      </c>
      <c r="V60" s="2">
        <f t="shared" si="41"/>
        <v>0</v>
      </c>
      <c r="W60" s="2">
        <f t="shared" si="42"/>
        <v>0</v>
      </c>
      <c r="X60" s="2">
        <f t="shared" si="43"/>
        <v>1</v>
      </c>
      <c r="Y60" s="2" t="str">
        <f t="shared" si="44"/>
        <v>Underestimation</v>
      </c>
      <c r="Z60" s="2">
        <f t="shared" si="45"/>
        <v>0</v>
      </c>
      <c r="AA60" s="2">
        <f t="shared" si="46"/>
        <v>1</v>
      </c>
      <c r="AB60" s="2">
        <f t="shared" si="47"/>
        <v>0</v>
      </c>
      <c r="AC60" s="2">
        <f t="shared" si="48"/>
        <v>0</v>
      </c>
      <c r="AD60" s="2" t="str">
        <f t="shared" si="49"/>
        <v>Agreement</v>
      </c>
      <c r="AE60" s="2">
        <v>1</v>
      </c>
      <c r="AF60" s="2">
        <v>1</v>
      </c>
      <c r="AG60" s="2">
        <v>1</v>
      </c>
      <c r="AH60" s="2">
        <f t="shared" si="50"/>
        <v>0</v>
      </c>
      <c r="AI60" s="2">
        <f t="shared" si="51"/>
        <v>1</v>
      </c>
      <c r="AJ60" s="2">
        <f t="shared" si="52"/>
        <v>0</v>
      </c>
      <c r="AK60" s="2">
        <f t="shared" si="53"/>
        <v>0</v>
      </c>
      <c r="AL60" s="2" t="str">
        <f t="shared" si="54"/>
        <v>Agreement</v>
      </c>
      <c r="AM60" s="2">
        <f t="shared" si="55"/>
        <v>0</v>
      </c>
      <c r="AN60" s="2">
        <f t="shared" si="56"/>
        <v>1</v>
      </c>
      <c r="AO60" s="2">
        <f t="shared" si="57"/>
        <v>0</v>
      </c>
      <c r="AP60" s="2">
        <f t="shared" si="58"/>
        <v>0</v>
      </c>
      <c r="AQ60" s="2" t="str">
        <f t="shared" si="59"/>
        <v>Agreement</v>
      </c>
      <c r="AR60" s="3" t="s">
        <v>308</v>
      </c>
      <c r="AS60" s="3" t="s">
        <v>308</v>
      </c>
      <c r="AT60" s="3" t="s">
        <v>204</v>
      </c>
      <c r="AU60" s="3" t="s">
        <v>309</v>
      </c>
      <c r="AV60" s="3" t="s">
        <v>310</v>
      </c>
      <c r="AW60" s="3" t="s">
        <v>57</v>
      </c>
      <c r="AX60" s="3" t="s">
        <v>311</v>
      </c>
      <c r="AY60" s="3" t="s">
        <v>311</v>
      </c>
      <c r="AZ60" s="3" t="s">
        <v>312</v>
      </c>
      <c r="BA60" s="3" t="s">
        <v>201</v>
      </c>
    </row>
    <row r="61" spans="1:53" ht="15" customHeight="1">
      <c r="A61" s="2">
        <v>60</v>
      </c>
      <c r="B61" s="2">
        <v>1528861314</v>
      </c>
      <c r="C61" s="2" t="s">
        <v>313</v>
      </c>
      <c r="D61" s="2" t="s">
        <v>202</v>
      </c>
      <c r="E61" s="2">
        <v>0</v>
      </c>
      <c r="F61" s="2">
        <v>0</v>
      </c>
      <c r="G61" s="2">
        <v>0</v>
      </c>
      <c r="H61" s="2">
        <f t="shared" si="30"/>
        <v>0</v>
      </c>
      <c r="I61" s="2">
        <f t="shared" si="31"/>
        <v>1</v>
      </c>
      <c r="J61" s="2">
        <f t="shared" si="32"/>
        <v>0</v>
      </c>
      <c r="K61" s="2">
        <f t="shared" si="33"/>
        <v>0</v>
      </c>
      <c r="L61" s="2" t="str">
        <f t="shared" si="34"/>
        <v>Agreement</v>
      </c>
      <c r="M61" s="2">
        <f t="shared" si="35"/>
        <v>0</v>
      </c>
      <c r="N61" s="2">
        <f t="shared" si="36"/>
        <v>1</v>
      </c>
      <c r="O61" s="2">
        <f t="shared" si="37"/>
        <v>0</v>
      </c>
      <c r="P61" s="2">
        <f t="shared" si="38"/>
        <v>0</v>
      </c>
      <c r="Q61" s="2" t="str">
        <f t="shared" si="39"/>
        <v>Agreement</v>
      </c>
      <c r="R61" s="2">
        <v>-1</v>
      </c>
      <c r="S61" s="2">
        <v>2</v>
      </c>
      <c r="T61" s="2">
        <v>2</v>
      </c>
      <c r="U61" s="2">
        <f t="shared" si="40"/>
        <v>-3</v>
      </c>
      <c r="V61" s="2">
        <f t="shared" si="41"/>
        <v>0</v>
      </c>
      <c r="W61" s="2">
        <f t="shared" si="42"/>
        <v>0</v>
      </c>
      <c r="X61" s="2">
        <f t="shared" si="43"/>
        <v>1</v>
      </c>
      <c r="Y61" s="2" t="str">
        <f t="shared" si="44"/>
        <v>Underestimation</v>
      </c>
      <c r="Z61" s="2">
        <f t="shared" si="45"/>
        <v>0</v>
      </c>
      <c r="AA61" s="2">
        <f t="shared" si="46"/>
        <v>1</v>
      </c>
      <c r="AB61" s="2">
        <f t="shared" si="47"/>
        <v>0</v>
      </c>
      <c r="AC61" s="2">
        <f t="shared" si="48"/>
        <v>0</v>
      </c>
      <c r="AD61" s="2" t="str">
        <f t="shared" si="49"/>
        <v>Agreement</v>
      </c>
      <c r="AE61" s="2">
        <v>1</v>
      </c>
      <c r="AF61" s="2">
        <v>1</v>
      </c>
      <c r="AG61" s="2">
        <v>1</v>
      </c>
      <c r="AH61" s="2">
        <f t="shared" si="50"/>
        <v>0</v>
      </c>
      <c r="AI61" s="2">
        <f t="shared" si="51"/>
        <v>1</v>
      </c>
      <c r="AJ61" s="2">
        <f t="shared" si="52"/>
        <v>0</v>
      </c>
      <c r="AK61" s="2">
        <f t="shared" si="53"/>
        <v>0</v>
      </c>
      <c r="AL61" s="2" t="str">
        <f t="shared" si="54"/>
        <v>Agreement</v>
      </c>
      <c r="AM61" s="2">
        <f t="shared" si="55"/>
        <v>0</v>
      </c>
      <c r="AN61" s="2">
        <f t="shared" si="56"/>
        <v>1</v>
      </c>
      <c r="AO61" s="2">
        <f t="shared" si="57"/>
        <v>0</v>
      </c>
      <c r="AP61" s="2">
        <f t="shared" si="58"/>
        <v>0</v>
      </c>
      <c r="AQ61" s="2" t="str">
        <f t="shared" si="59"/>
        <v>Agreement</v>
      </c>
      <c r="AR61" s="3" t="s">
        <v>314</v>
      </c>
      <c r="AS61" s="3" t="s">
        <v>314</v>
      </c>
      <c r="AT61" s="3" t="s">
        <v>204</v>
      </c>
      <c r="AU61" s="3" t="s">
        <v>315</v>
      </c>
      <c r="AV61" s="3" t="s">
        <v>316</v>
      </c>
      <c r="AW61" s="3" t="s">
        <v>57</v>
      </c>
      <c r="AX61" s="3" t="s">
        <v>317</v>
      </c>
      <c r="AY61" s="3" t="s">
        <v>317</v>
      </c>
      <c r="AZ61" s="3" t="s">
        <v>312</v>
      </c>
      <c r="BA61" s="3" t="s">
        <v>201</v>
      </c>
    </row>
  </sheetData>
  <autoFilter ref="A1:BA61" xr:uid="{00000000-0001-0000-01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showGridLines="0" topLeftCell="A10" zoomScaleNormal="100" workbookViewId="0">
      <selection activeCell="A13" sqref="A13"/>
    </sheetView>
  </sheetViews>
  <sheetFormatPr defaultColWidth="8.5703125" defaultRowHeight="14.45"/>
  <cols>
    <col min="1" max="2" width="12" customWidth="1"/>
    <col min="3" max="4" width="15" customWidth="1"/>
    <col min="5" max="5" width="17" customWidth="1"/>
    <col min="6" max="6" width="14" customWidth="1"/>
    <col min="7" max="7" width="18" customWidth="1"/>
  </cols>
  <sheetData>
    <row r="1" spans="1:7" ht="15" customHeight="1">
      <c r="A1" s="1" t="s">
        <v>318</v>
      </c>
    </row>
    <row r="2" spans="1:7" ht="27.75" customHeight="1">
      <c r="A2" s="4" t="s">
        <v>319</v>
      </c>
      <c r="B2" s="4" t="s">
        <v>320</v>
      </c>
      <c r="C2" s="4" t="s">
        <v>321</v>
      </c>
      <c r="D2" s="4" t="s">
        <v>322</v>
      </c>
      <c r="E2" s="4" t="s">
        <v>323</v>
      </c>
      <c r="F2" s="4" t="s">
        <v>324</v>
      </c>
      <c r="G2" s="4" t="s">
        <v>325</v>
      </c>
    </row>
    <row r="3" spans="1:7" ht="15" customHeight="1">
      <c r="A3" s="5" t="s">
        <v>326</v>
      </c>
      <c r="B3" s="5" t="s">
        <v>327</v>
      </c>
      <c r="C3" s="6">
        <f>SUM(Data!I2:I61)/COUNT(Data!I2:I61)</f>
        <v>0.98333333333333328</v>
      </c>
      <c r="D3" s="7">
        <f>AVERAGE(Data!H2:H61)</f>
        <v>-1.6666666666666666E-2</v>
      </c>
      <c r="E3" s="5">
        <f>SUM(Data!J2:J61)</f>
        <v>0</v>
      </c>
      <c r="F3" s="5">
        <f>SUM(Data!I2:I61)</f>
        <v>59</v>
      </c>
      <c r="G3" s="5">
        <f>SUM(Data!K2:K61)</f>
        <v>1</v>
      </c>
    </row>
    <row r="4" spans="1:7" ht="15" customHeight="1">
      <c r="A4" s="5" t="s">
        <v>326</v>
      </c>
      <c r="B4" s="5" t="s">
        <v>328</v>
      </c>
      <c r="C4" s="6">
        <f>SUM(Data!N2:N61)/COUNT(Data!N2:N61)</f>
        <v>1</v>
      </c>
      <c r="D4" s="7">
        <f>AVERAGE(Data!M2:M61)</f>
        <v>0</v>
      </c>
      <c r="E4" s="5">
        <f>SUM(Data!O2:O61)</f>
        <v>0</v>
      </c>
      <c r="F4" s="5">
        <f>SUM(Data!N2:N61)</f>
        <v>60</v>
      </c>
      <c r="G4" s="5">
        <f>SUM(Data!P2:P61)</f>
        <v>0</v>
      </c>
    </row>
    <row r="5" spans="1:7" ht="15" customHeight="1">
      <c r="A5" s="5" t="s">
        <v>329</v>
      </c>
      <c r="B5" s="5" t="s">
        <v>327</v>
      </c>
      <c r="C5" s="6">
        <f>SUM(Data!V2:V61)/COUNT(Data!V2:V61)</f>
        <v>0.65</v>
      </c>
      <c r="D5" s="7">
        <f>AVERAGE(Data!U2:U61)</f>
        <v>-0.96666666666666667</v>
      </c>
      <c r="E5" s="5">
        <f>SUM(Data!W2:W61)</f>
        <v>1</v>
      </c>
      <c r="F5" s="5">
        <f>SUM(Data!V2:V61)</f>
        <v>39</v>
      </c>
      <c r="G5" s="5">
        <f>SUM(Data!X2:X61)</f>
        <v>20</v>
      </c>
    </row>
    <row r="6" spans="1:7" ht="15" customHeight="1">
      <c r="A6" s="5" t="s">
        <v>329</v>
      </c>
      <c r="B6" s="5" t="s">
        <v>328</v>
      </c>
      <c r="C6" s="6">
        <f>SUM(Data!AA2:AA61)/COUNT(Data!AA2:AA61)</f>
        <v>0.83333333333333337</v>
      </c>
      <c r="D6" s="7">
        <f>AVERAGE(Data!Z2:Z61)</f>
        <v>-0.5</v>
      </c>
      <c r="E6" s="5">
        <f>SUM(Data!AB2:AB61)</f>
        <v>0</v>
      </c>
      <c r="F6" s="5">
        <f>SUM(Data!AA2:AA61)</f>
        <v>50</v>
      </c>
      <c r="G6" s="5">
        <f>SUM(Data!AC2:AC61)</f>
        <v>10</v>
      </c>
    </row>
    <row r="7" spans="1:7" ht="15" customHeight="1">
      <c r="A7" s="5" t="s">
        <v>330</v>
      </c>
      <c r="B7" s="5" t="s">
        <v>327</v>
      </c>
      <c r="C7" s="6">
        <f>SUM(Data!AI2:AI61)/COUNT(Data!AI2:AI61)</f>
        <v>0.18333333333333332</v>
      </c>
      <c r="D7" s="7">
        <f>AVERAGE(Data!AH2:AH61)</f>
        <v>-0.81666666666666665</v>
      </c>
      <c r="E7" s="5">
        <f>SUM(Data!AJ2:AJ61)</f>
        <v>0</v>
      </c>
      <c r="F7" s="5">
        <f>SUM(Data!AI2:AI61)</f>
        <v>11</v>
      </c>
      <c r="G7" s="5">
        <f>SUM(Data!AK2:AK61)</f>
        <v>49</v>
      </c>
    </row>
    <row r="8" spans="1:7" ht="15" customHeight="1">
      <c r="A8" s="5" t="s">
        <v>330</v>
      </c>
      <c r="B8" s="5" t="s">
        <v>328</v>
      </c>
      <c r="C8" s="6">
        <f>SUM(Data!AN2:AN61)/COUNT(Data!AN2:AN61)</f>
        <v>1</v>
      </c>
      <c r="D8" s="7">
        <f>AVERAGE(Data!AM2:AM61)</f>
        <v>0</v>
      </c>
      <c r="E8" s="5">
        <f>SUM(Data!AO2:AO61)</f>
        <v>0</v>
      </c>
      <c r="F8" s="5">
        <f>SUM(Data!AN2:AN61)</f>
        <v>60</v>
      </c>
      <c r="G8" s="5">
        <f>SUM(Data!AP2:AP61)</f>
        <v>0</v>
      </c>
    </row>
    <row r="11" spans="1:7" ht="15" customHeight="1"/>
    <row r="12" spans="1:7" ht="21.75" customHeight="1"/>
    <row r="13" spans="1:7" ht="15" customHeight="1">
      <c r="B13" s="8"/>
      <c r="C13" s="8"/>
      <c r="D13" s="8"/>
      <c r="E13" s="8"/>
      <c r="F13" s="8"/>
      <c r="G13" s="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Angela Boccia</cp:lastModifiedBy>
  <cp:revision>0</cp:revision>
  <dcterms:created xsi:type="dcterms:W3CDTF">2026-09-15T11:55:05Z</dcterms:created>
  <dcterms:modified xsi:type="dcterms:W3CDTF">2026-09-30T12:05:17Z</dcterms:modified>
  <cp:category/>
  <cp:contentStatus/>
</cp:coreProperties>
</file>